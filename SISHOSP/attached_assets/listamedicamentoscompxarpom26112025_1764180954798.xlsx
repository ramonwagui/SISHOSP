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8_{FAD3050A-F6B5-4DAB-86EE-44EC5B5DD9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5" i="1" l="1"/>
  <c r="G96" i="1"/>
  <c r="G97" i="1"/>
  <c r="G86" i="1"/>
  <c r="G87" i="1"/>
  <c r="G88" i="1"/>
  <c r="G89" i="1"/>
  <c r="G90" i="1"/>
  <c r="G91" i="1"/>
  <c r="G92" i="1"/>
  <c r="G93" i="1"/>
  <c r="G94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71" i="1"/>
  <c r="G23" i="1"/>
  <c r="G65" i="1" l="1"/>
  <c r="G66" i="1"/>
  <c r="G67" i="1"/>
  <c r="G68" i="1"/>
  <c r="G69" i="1"/>
  <c r="G70" i="1"/>
  <c r="G51" i="1"/>
  <c r="G64" i="1" l="1"/>
  <c r="G63" i="1"/>
  <c r="G62" i="1"/>
  <c r="G61" i="1"/>
  <c r="G60" i="1"/>
  <c r="G59" i="1"/>
  <c r="G58" i="1"/>
  <c r="G57" i="1"/>
  <c r="G56" i="1"/>
  <c r="G55" i="1"/>
  <c r="G54" i="1"/>
  <c r="G53" i="1"/>
  <c r="G52" i="1"/>
  <c r="G36" i="1"/>
  <c r="G35" i="1"/>
  <c r="G45" i="1"/>
  <c r="G46" i="1"/>
  <c r="G41" i="1"/>
  <c r="G42" i="1"/>
  <c r="G43" i="1"/>
  <c r="G44" i="1"/>
  <c r="G40" i="1"/>
  <c r="G39" i="1"/>
  <c r="G38" i="1"/>
  <c r="G37" i="1"/>
  <c r="G29" i="1"/>
  <c r="G30" i="1"/>
  <c r="G31" i="1"/>
  <c r="G32" i="1"/>
  <c r="G33" i="1"/>
  <c r="G34" i="1"/>
  <c r="G28" i="1"/>
  <c r="G22" i="1"/>
  <c r="G21" i="1"/>
  <c r="G5" i="1"/>
  <c r="G6" i="1"/>
  <c r="G7" i="1"/>
  <c r="G8" i="1"/>
  <c r="G9" i="1"/>
  <c r="G10" i="1"/>
  <c r="G11" i="1"/>
  <c r="G12" i="1"/>
  <c r="G13" i="1"/>
  <c r="G14" i="1"/>
  <c r="G15" i="1"/>
  <c r="G16" i="1"/>
  <c r="G4" i="1"/>
  <c r="G98" i="1" l="1"/>
  <c r="G47" i="1"/>
  <c r="G17" i="1"/>
  <c r="G24" i="1"/>
</calcChain>
</file>

<file path=xl/sharedStrings.xml><?xml version="1.0" encoding="utf-8"?>
<sst xmlns="http://schemas.openxmlformats.org/spreadsheetml/2006/main" count="292" uniqueCount="136">
  <si>
    <t>ITEM</t>
  </si>
  <si>
    <t>QUANT.</t>
  </si>
  <si>
    <t>UNID.</t>
  </si>
  <si>
    <t>DESCRIÇÃO</t>
  </si>
  <si>
    <t>MARCA</t>
  </si>
  <si>
    <t>V. UNIT.</t>
  </si>
  <si>
    <t>V. TOTAL</t>
  </si>
  <si>
    <t>QUANT</t>
  </si>
  <si>
    <t>COMPRIMIDOS</t>
  </si>
  <si>
    <t>FRASCOS</t>
  </si>
  <si>
    <t>TEUTO</t>
  </si>
  <si>
    <t>GEOLAB</t>
  </si>
  <si>
    <t>EUROFARMA</t>
  </si>
  <si>
    <t>GLOBO</t>
  </si>
  <si>
    <t>VITAMEDIC</t>
  </si>
  <si>
    <t>FARMACE</t>
  </si>
  <si>
    <t>HIPOLABOR</t>
  </si>
  <si>
    <t>VALOR TOTAL</t>
  </si>
  <si>
    <t>LOTE XI – MEDICAÇÕES ANTI HIPERTENSIVAS</t>
  </si>
  <si>
    <t>CAPTOPRIL 25 MG</t>
  </si>
  <si>
    <t>CAPTOPRIL 50 MG</t>
  </si>
  <si>
    <t>EMS</t>
  </si>
  <si>
    <t>ENALAPRIL 05MG</t>
  </si>
  <si>
    <t>ENALAPRIL 10MG</t>
  </si>
  <si>
    <t>ENALAPRIL 20MG</t>
  </si>
  <si>
    <t>FUROSEMIDA 40 MG</t>
  </si>
  <si>
    <t>PRATI DONADUZZI</t>
  </si>
  <si>
    <t>HIDROCLOROTIAZIDA 25 MG</t>
  </si>
  <si>
    <t>CIMED</t>
  </si>
  <si>
    <t>HIDROCLOROTIAZIDA 50 MG</t>
  </si>
  <si>
    <t>LOSARTANA POTASSICA 50 MG</t>
  </si>
  <si>
    <t>LOSARTANA POTASSICA 100 MG</t>
  </si>
  <si>
    <t>METILDOPA 250 MG</t>
  </si>
  <si>
    <t>METILDOPA 500MG</t>
  </si>
  <si>
    <t>PROPRANOLOL 40 MG</t>
  </si>
  <si>
    <t>OSÓRIO DE MORAES</t>
  </si>
  <si>
    <t>LOTE XII – MEDICAÇÕES ANTI DIABETICAS</t>
  </si>
  <si>
    <t>GLIBENCLAMIDA 05 MG</t>
  </si>
  <si>
    <t>METFORMINA 500 MG</t>
  </si>
  <si>
    <t>METFORMINA 850 MG</t>
  </si>
  <si>
    <t>LOTE XIII – ANTIBIOTICOS</t>
  </si>
  <si>
    <t>AMOXICILINACLAVULONATO 500MG 125 MG</t>
  </si>
  <si>
    <t>CÁPSULAS</t>
  </si>
  <si>
    <t>AMOXICILINA 500 MG</t>
  </si>
  <si>
    <t>UNICHEM</t>
  </si>
  <si>
    <t>AMOXICILINA SUSP. ORAL 60 ML</t>
  </si>
  <si>
    <t>AZITROMICINA 500MG</t>
  </si>
  <si>
    <t>MEDQUIMICA</t>
  </si>
  <si>
    <t>AZITROMICINA 600MG 15ML</t>
  </si>
  <si>
    <t>PHARLAB</t>
  </si>
  <si>
    <t>AZITROMICINA 900MG 22,5ML</t>
  </si>
  <si>
    <t>BENZOILMETRONIDAZOL SUSP. ORAL 80ML</t>
  </si>
  <si>
    <t>CEFALEXINA 500 MG</t>
  </si>
  <si>
    <t>UNIAO QUIMICA</t>
  </si>
  <si>
    <t>CEFALEXINA SUSPENSÃO ORAL 250MG/05ML</t>
  </si>
  <si>
    <t>CIPROFLOXACINO 500 MG</t>
  </si>
  <si>
    <t>METRONIDAZOL 250 MG</t>
  </si>
  <si>
    <t>METRONIDAZOL 400 MG</t>
  </si>
  <si>
    <t>BISNAGA</t>
  </si>
  <si>
    <t>METRONIDAZOL GEL VAGINAL</t>
  </si>
  <si>
    <t>METRONIDAZOLNISTATINA 50G</t>
  </si>
  <si>
    <t>SULFADIAZINA DE PRATA 30GR</t>
  </si>
  <si>
    <t>POTE</t>
  </si>
  <si>
    <t>SULFADIAZINA DE PRATA 400GR</t>
  </si>
  <si>
    <t>NATIVITA</t>
  </si>
  <si>
    <t>SULFAMETOXAZOL TRIMETOPRIMA 400 MG 80 MG</t>
  </si>
  <si>
    <t>BELFAR</t>
  </si>
  <si>
    <t>SULFAMETOXAZOL TRIMETOPRIMA SUSP. ORAL 50ML</t>
  </si>
  <si>
    <t>AMOXICILINACLAVULONATO  50MG  /  ML  12,5 MG/ML SUSPENSÃO ORAL</t>
  </si>
  <si>
    <t>LOTE XIV – MEDICAÇÕES ANTI-INFLAMATORIAS, EXPECTORANTES, ANTI-ALERGICOS E ETC</t>
  </si>
  <si>
    <t>ACIDO ACETILSALICILICO 100 MG</t>
  </si>
  <si>
    <t>IMEC</t>
  </si>
  <si>
    <t>ACIDO FOLICO 05 MG</t>
  </si>
  <si>
    <t>ACIDO FOLICO 0,2 MG GOTAS</t>
  </si>
  <si>
    <t>AIRELA</t>
  </si>
  <si>
    <t>ACIDO TRANEXAMICO 250MG</t>
  </si>
  <si>
    <t>LEGRAND</t>
  </si>
  <si>
    <t>ACEBROFILINA XAROPE INFANTIL 25MG/05ML</t>
  </si>
  <si>
    <t>ACEBROFILINA XAROPE ADULTO 50MG/05ML</t>
  </si>
  <si>
    <t>ACETILCISTEINA XAROPE ADULTO 40MG/ML</t>
  </si>
  <si>
    <t>ACETILCISTEINA XAROPE INFANTIL 20MG/ML</t>
  </si>
  <si>
    <t>ALBENDAZOL 400MG</t>
  </si>
  <si>
    <t>AMBROXOL ADULTO</t>
  </si>
  <si>
    <t>AMBROXOL INFANTIL</t>
  </si>
  <si>
    <t>NATULAB</t>
  </si>
  <si>
    <t>BROMETO DE IPRATROPIO 20ML</t>
  </si>
  <si>
    <t>BROMOPRIDA GOTAS</t>
  </si>
  <si>
    <t>CARBONATO DE CALCIO 500MG</t>
  </si>
  <si>
    <t>DEXCLORFENIRAMINA 2MG</t>
  </si>
  <si>
    <t>DIPIRONA 500 MG</t>
  </si>
  <si>
    <t>DIPIRONA SOL. ORAL 10 ML</t>
  </si>
  <si>
    <t>ESPIRONOLACTONA 25MG</t>
  </si>
  <si>
    <t>ESPIRONOLACTONA 50MG</t>
  </si>
  <si>
    <t>ESPIRONOLACTONA 100MG</t>
  </si>
  <si>
    <t>FLUCONAZOL 150 MG</t>
  </si>
  <si>
    <t>HIOSCINA DIPIRONA</t>
  </si>
  <si>
    <t>IBUPROFENO 600 MG</t>
  </si>
  <si>
    <t>IBUPROFENO SUSPENSÃO ORAL 100MG/ML</t>
  </si>
  <si>
    <t>LACTULOSE XAROPE</t>
  </si>
  <si>
    <t>LIDOCAINA GELEIA 30 G.</t>
  </si>
  <si>
    <t>LORATADINA XAROPE 100 ML</t>
  </si>
  <si>
    <t>NISTATINA SUSP. ORAL 50 ML</t>
  </si>
  <si>
    <t>NITRATO DE MICONAZOL CREME VAGINAL</t>
  </si>
  <si>
    <t>BISNAGAS</t>
  </si>
  <si>
    <t>MICONAZOL CREME 30G</t>
  </si>
  <si>
    <t>OMEPRAZOL 20 MG</t>
  </si>
  <si>
    <t>PANTOPRAZOL 40MG</t>
  </si>
  <si>
    <t>BLAU FARMACEUTICA</t>
  </si>
  <si>
    <t>PARACETAMOL 500 MG</t>
  </si>
  <si>
    <t>PARACETAMOL 750 MG</t>
  </si>
  <si>
    <t>PARACETAMOL SOL. ORAL 10 ML</t>
  </si>
  <si>
    <t>PREDNISONA 05MG</t>
  </si>
  <si>
    <t>PREDNISONA 20MG</t>
  </si>
  <si>
    <t>PREDNISOLONA SUSP. ORAL 03 MG / ML 100 ML</t>
  </si>
  <si>
    <t>PROMETAZINA 25 MG</t>
  </si>
  <si>
    <t>SALBUTAMOL SPRAY 100 MCG</t>
  </si>
  <si>
    <t>PHARMASCIENCE</t>
  </si>
  <si>
    <t>SECNIDAZOL 1000MG</t>
  </si>
  <si>
    <t>SIMETICONA GOTAS</t>
  </si>
  <si>
    <t>SULFATO FERROSO 40 MG</t>
  </si>
  <si>
    <t>LAPON</t>
  </si>
  <si>
    <t>TIAMINA 300MG</t>
  </si>
  <si>
    <t>VITAMINA C 200MG/ML 20ML</t>
  </si>
  <si>
    <t>SANOFI</t>
  </si>
  <si>
    <t>VITAMINA C 500MG CPR</t>
  </si>
  <si>
    <t>ALBENDAZOL SUSP. ORAL 10 ML SOLUÇÃO ORAL. CONCENTRAÇÃO 10ML. FRASCO</t>
  </si>
  <si>
    <t>CLOPIDROGREL 75MG</t>
  </si>
  <si>
    <t>ATENOLOL 25MG</t>
  </si>
  <si>
    <t>ATENOLOL 50MG</t>
  </si>
  <si>
    <t>ÓLEOL MINERAL</t>
  </si>
  <si>
    <t>SIVASTATINA 20MG</t>
  </si>
  <si>
    <t>SIVASTATINA 40MG</t>
  </si>
  <si>
    <t>NIFEDIPINO 10MG</t>
  </si>
  <si>
    <t>NIFEDIPINO 20MG</t>
  </si>
  <si>
    <t>DEXAMETASON CREME</t>
  </si>
  <si>
    <t xml:space="preserve">                    EXU, 26 DE NOVEMBRO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</si>
</sst>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right" vertical="center"/>
    </xf>
    <xf numFmtId="8" fontId="1" fillId="0" borderId="1" xfId="0" applyNumberFormat="1" applyFont="1" applyBorder="1" applyAlignment="1">
      <alignment horizontal="right" vertical="center"/>
    </xf>
    <xf numFmtId="0" fontId="0" fillId="2" borderId="0" xfId="0" applyFill="1"/>
    <xf numFmtId="0" fontId="0" fillId="0" borderId="0" xfId="0" applyAlignment="1">
      <alignment vertical="center"/>
    </xf>
    <xf numFmtId="8" fontId="2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8" fontId="2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8" fontId="2" fillId="0" borderId="5" xfId="0" applyNumberFormat="1" applyFont="1" applyBorder="1" applyAlignment="1">
      <alignment horizontal="right" vertical="center"/>
    </xf>
    <xf numFmtId="8" fontId="2" fillId="0" borderId="6" xfId="0" applyNumberFormat="1" applyFont="1" applyFill="1" applyBorder="1" applyAlignment="1">
      <alignment horizontal="right" vertical="center"/>
    </xf>
    <xf numFmtId="8" fontId="2" fillId="0" borderId="7" xfId="0" applyNumberFormat="1" applyFont="1" applyBorder="1" applyAlignment="1">
      <alignment horizontal="right" vertical="center"/>
    </xf>
    <xf numFmtId="8" fontId="2" fillId="0" borderId="5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132520</xdr:colOff>
      <xdr:row>0</xdr:row>
      <xdr:rowOff>52965</xdr:rowOff>
    </xdr:from>
    <xdr:to>
      <xdr:col>2</xdr:col>
      <xdr:colOff>1002194</xdr:colOff>
      <xdr:row>0</xdr:row>
      <xdr:rowOff>561769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0</xdr:row>
      <xdr:rowOff>33131</xdr:rowOff>
    </xdr:from>
    <xdr:to>
      <xdr:col>5</xdr:col>
      <xdr:colOff>538369</xdr:colOff>
      <xdr:row>0</xdr:row>
      <xdr:rowOff>519986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17</xdr:row>
      <xdr:rowOff>52965</xdr:rowOff>
    </xdr:from>
    <xdr:to>
      <xdr:col>2</xdr:col>
      <xdr:colOff>1002194</xdr:colOff>
      <xdr:row>17</xdr:row>
      <xdr:rowOff>561769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17</xdr:row>
      <xdr:rowOff>33131</xdr:rowOff>
    </xdr:from>
    <xdr:to>
      <xdr:col>5</xdr:col>
      <xdr:colOff>538369</xdr:colOff>
      <xdr:row>17</xdr:row>
      <xdr:rowOff>519986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24</xdr:row>
      <xdr:rowOff>52965</xdr:rowOff>
    </xdr:from>
    <xdr:to>
      <xdr:col>2</xdr:col>
      <xdr:colOff>1002194</xdr:colOff>
      <xdr:row>24</xdr:row>
      <xdr:rowOff>561769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24</xdr:row>
      <xdr:rowOff>33131</xdr:rowOff>
    </xdr:from>
    <xdr:to>
      <xdr:col>5</xdr:col>
      <xdr:colOff>538369</xdr:colOff>
      <xdr:row>24</xdr:row>
      <xdr:rowOff>519986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47</xdr:row>
      <xdr:rowOff>52965</xdr:rowOff>
    </xdr:from>
    <xdr:to>
      <xdr:col>2</xdr:col>
      <xdr:colOff>1002194</xdr:colOff>
      <xdr:row>47</xdr:row>
      <xdr:rowOff>561769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47</xdr:row>
      <xdr:rowOff>33131</xdr:rowOff>
    </xdr:from>
    <xdr:to>
      <xdr:col>5</xdr:col>
      <xdr:colOff>538369</xdr:colOff>
      <xdr:row>47</xdr:row>
      <xdr:rowOff>519986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8"/>
  <sheetViews>
    <sheetView tabSelected="1" zoomScale="115" zoomScaleNormal="115" zoomScalePageLayoutView="85" workbookViewId="0">
      <selection activeCell="D1" sqref="D1"/>
    </sheetView>
  </sheetViews>
  <sheetFormatPr defaultRowHeight="15" x14ac:dyDescent="0.25"/>
  <cols>
    <col min="1" max="1" width="9.28515625" style="9" bestFit="1" customWidth="1"/>
    <col min="2" max="2" width="9.28515625" bestFit="1" customWidth="1"/>
    <col min="3" max="3" width="17.28515625" style="9" bestFit="1" customWidth="1"/>
    <col min="4" max="4" width="47.5703125" style="12" customWidth="1"/>
    <col min="5" max="5" width="22.140625" style="9" customWidth="1"/>
    <col min="6" max="6" width="10.5703125" style="10" bestFit="1" customWidth="1"/>
    <col min="7" max="7" width="13.42578125" style="8" bestFit="1" customWidth="1"/>
  </cols>
  <sheetData>
    <row r="1" spans="1:7" ht="45" customHeight="1" x14ac:dyDescent="0.25">
      <c r="A1" s="18"/>
      <c r="B1" s="37"/>
      <c r="C1" s="37"/>
      <c r="D1" s="33" t="s">
        <v>135</v>
      </c>
      <c r="E1" s="37"/>
      <c r="F1" s="37"/>
      <c r="G1" s="18"/>
    </row>
    <row r="2" spans="1:7" ht="15.75" x14ac:dyDescent="0.25">
      <c r="A2" s="40" t="s">
        <v>18</v>
      </c>
      <c r="B2" s="40"/>
      <c r="C2" s="40"/>
      <c r="D2" s="40"/>
      <c r="E2" s="40"/>
      <c r="F2" s="40"/>
      <c r="G2" s="40"/>
    </row>
    <row r="3" spans="1:7" s="11" customFormat="1" ht="15.75" x14ac:dyDescent="0.25">
      <c r="A3" s="22" t="s">
        <v>0</v>
      </c>
      <c r="B3" s="22" t="s">
        <v>7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</row>
    <row r="4" spans="1:7" ht="15.75" x14ac:dyDescent="0.25">
      <c r="A4" s="19">
        <v>11</v>
      </c>
      <c r="B4" s="2">
        <v>0</v>
      </c>
      <c r="C4" s="4" t="s">
        <v>8</v>
      </c>
      <c r="D4" s="21" t="s">
        <v>19</v>
      </c>
      <c r="E4" s="4" t="s">
        <v>11</v>
      </c>
      <c r="F4" s="17">
        <v>0.03</v>
      </c>
      <c r="G4" s="7">
        <f>B4*F4</f>
        <v>0</v>
      </c>
    </row>
    <row r="5" spans="1:7" ht="15.75" x14ac:dyDescent="0.25">
      <c r="A5" s="19">
        <v>11</v>
      </c>
      <c r="B5" s="2">
        <v>0</v>
      </c>
      <c r="C5" s="4" t="s">
        <v>8</v>
      </c>
      <c r="D5" s="21" t="s">
        <v>20</v>
      </c>
      <c r="E5" s="4" t="s">
        <v>21</v>
      </c>
      <c r="F5" s="17">
        <v>0.06</v>
      </c>
      <c r="G5" s="7">
        <f t="shared" ref="G5:G16" si="0">B5*F5</f>
        <v>0</v>
      </c>
    </row>
    <row r="6" spans="1:7" ht="15.75" x14ac:dyDescent="0.25">
      <c r="A6" s="19">
        <v>11</v>
      </c>
      <c r="B6" s="2">
        <v>0</v>
      </c>
      <c r="C6" s="4" t="s">
        <v>8</v>
      </c>
      <c r="D6" s="21" t="s">
        <v>22</v>
      </c>
      <c r="E6" s="4" t="s">
        <v>16</v>
      </c>
      <c r="F6" s="17">
        <v>0.05</v>
      </c>
      <c r="G6" s="7">
        <f t="shared" si="0"/>
        <v>0</v>
      </c>
    </row>
    <row r="7" spans="1:7" ht="15.75" x14ac:dyDescent="0.25">
      <c r="A7" s="19">
        <v>11</v>
      </c>
      <c r="B7" s="2">
        <v>0</v>
      </c>
      <c r="C7" s="4" t="s">
        <v>8</v>
      </c>
      <c r="D7" s="21" t="s">
        <v>23</v>
      </c>
      <c r="E7" s="4" t="s">
        <v>21</v>
      </c>
      <c r="F7" s="17">
        <v>0.04</v>
      </c>
      <c r="G7" s="7">
        <f t="shared" si="0"/>
        <v>0</v>
      </c>
    </row>
    <row r="8" spans="1:7" ht="15.75" x14ac:dyDescent="0.25">
      <c r="A8" s="19">
        <v>11</v>
      </c>
      <c r="B8" s="2">
        <v>0</v>
      </c>
      <c r="C8" s="4" t="s">
        <v>8</v>
      </c>
      <c r="D8" s="21" t="s">
        <v>24</v>
      </c>
      <c r="E8" s="4" t="s">
        <v>21</v>
      </c>
      <c r="F8" s="17">
        <v>0.05</v>
      </c>
      <c r="G8" s="7">
        <f t="shared" si="0"/>
        <v>0</v>
      </c>
    </row>
    <row r="9" spans="1:7" ht="15.75" x14ac:dyDescent="0.25">
      <c r="A9" s="19">
        <v>11</v>
      </c>
      <c r="B9" s="2">
        <v>0</v>
      </c>
      <c r="C9" s="4" t="s">
        <v>8</v>
      </c>
      <c r="D9" s="21" t="s">
        <v>25</v>
      </c>
      <c r="E9" s="4" t="s">
        <v>26</v>
      </c>
      <c r="F9" s="17">
        <v>0.05</v>
      </c>
      <c r="G9" s="7">
        <f t="shared" si="0"/>
        <v>0</v>
      </c>
    </row>
    <row r="10" spans="1:7" ht="15.75" x14ac:dyDescent="0.25">
      <c r="A10" s="19">
        <v>11</v>
      </c>
      <c r="B10" s="2">
        <v>0</v>
      </c>
      <c r="C10" s="4" t="s">
        <v>8</v>
      </c>
      <c r="D10" s="21" t="s">
        <v>27</v>
      </c>
      <c r="E10" s="4" t="s">
        <v>28</v>
      </c>
      <c r="F10" s="17">
        <v>0.02</v>
      </c>
      <c r="G10" s="7">
        <f t="shared" si="0"/>
        <v>0</v>
      </c>
    </row>
    <row r="11" spans="1:7" ht="15.75" x14ac:dyDescent="0.25">
      <c r="A11" s="19">
        <v>11</v>
      </c>
      <c r="B11" s="2">
        <v>0</v>
      </c>
      <c r="C11" s="4" t="s">
        <v>8</v>
      </c>
      <c r="D11" s="21" t="s">
        <v>29</v>
      </c>
      <c r="E11" s="4" t="s">
        <v>28</v>
      </c>
      <c r="F11" s="17">
        <v>7.0000000000000007E-2</v>
      </c>
      <c r="G11" s="7">
        <f t="shared" si="0"/>
        <v>0</v>
      </c>
    </row>
    <row r="12" spans="1:7" ht="15.75" x14ac:dyDescent="0.25">
      <c r="A12" s="19">
        <v>11</v>
      </c>
      <c r="B12" s="2">
        <v>0</v>
      </c>
      <c r="C12" s="4" t="s">
        <v>8</v>
      </c>
      <c r="D12" s="21" t="s">
        <v>30</v>
      </c>
      <c r="E12" s="4" t="s">
        <v>26</v>
      </c>
      <c r="F12" s="17">
        <v>0.04</v>
      </c>
      <c r="G12" s="7">
        <f t="shared" si="0"/>
        <v>0</v>
      </c>
    </row>
    <row r="13" spans="1:7" ht="15.75" x14ac:dyDescent="0.25">
      <c r="A13" s="19">
        <v>11</v>
      </c>
      <c r="B13" s="2">
        <v>0</v>
      </c>
      <c r="C13" s="4" t="s">
        <v>8</v>
      </c>
      <c r="D13" s="21" t="s">
        <v>31</v>
      </c>
      <c r="E13" s="4" t="s">
        <v>26</v>
      </c>
      <c r="F13" s="17">
        <v>0.45</v>
      </c>
      <c r="G13" s="7">
        <f t="shared" si="0"/>
        <v>0</v>
      </c>
    </row>
    <row r="14" spans="1:7" ht="15.75" x14ac:dyDescent="0.25">
      <c r="A14" s="19">
        <v>11</v>
      </c>
      <c r="B14" s="2">
        <v>0</v>
      </c>
      <c r="C14" s="4" t="s">
        <v>8</v>
      </c>
      <c r="D14" s="21" t="s">
        <v>32</v>
      </c>
      <c r="E14" s="4" t="s">
        <v>16</v>
      </c>
      <c r="F14" s="17">
        <v>0.39</v>
      </c>
      <c r="G14" s="7">
        <f t="shared" si="0"/>
        <v>0</v>
      </c>
    </row>
    <row r="15" spans="1:7" ht="15.75" x14ac:dyDescent="0.25">
      <c r="A15" s="19">
        <v>11</v>
      </c>
      <c r="B15" s="2">
        <v>0</v>
      </c>
      <c r="C15" s="4" t="s">
        <v>8</v>
      </c>
      <c r="D15" s="21" t="s">
        <v>33</v>
      </c>
      <c r="E15" s="4" t="s">
        <v>21</v>
      </c>
      <c r="F15" s="17">
        <v>0.79</v>
      </c>
      <c r="G15" s="7">
        <f t="shared" si="0"/>
        <v>0</v>
      </c>
    </row>
    <row r="16" spans="1:7" ht="31.5" x14ac:dyDescent="0.25">
      <c r="A16" s="19">
        <v>11</v>
      </c>
      <c r="B16" s="2">
        <v>0</v>
      </c>
      <c r="C16" s="4" t="s">
        <v>8</v>
      </c>
      <c r="D16" s="21" t="s">
        <v>34</v>
      </c>
      <c r="E16" s="4" t="s">
        <v>35</v>
      </c>
      <c r="F16" s="17">
        <v>0.04</v>
      </c>
      <c r="G16" s="7">
        <f t="shared" si="0"/>
        <v>0</v>
      </c>
    </row>
    <row r="17" spans="1:7" ht="15.75" x14ac:dyDescent="0.25">
      <c r="A17" s="41" t="s">
        <v>17</v>
      </c>
      <c r="B17" s="41"/>
      <c r="C17" s="41"/>
      <c r="D17" s="41"/>
      <c r="E17" s="41"/>
      <c r="F17" s="41"/>
      <c r="G17" s="23">
        <f>SUM(G4:G16)</f>
        <v>0</v>
      </c>
    </row>
    <row r="18" spans="1:7" ht="45" customHeight="1" x14ac:dyDescent="0.25">
      <c r="A18" s="18"/>
      <c r="B18" s="37"/>
      <c r="C18" s="37"/>
      <c r="E18" s="37"/>
      <c r="F18" s="37"/>
      <c r="G18" s="18"/>
    </row>
    <row r="19" spans="1:7" ht="20.25" x14ac:dyDescent="0.3">
      <c r="A19" s="39" t="s">
        <v>36</v>
      </c>
      <c r="B19" s="39"/>
      <c r="C19" s="39"/>
      <c r="D19" s="39"/>
      <c r="E19" s="39"/>
      <c r="F19" s="39"/>
      <c r="G19" s="39"/>
    </row>
    <row r="20" spans="1:7" s="11" customFormat="1" ht="15.75" x14ac:dyDescent="0.25">
      <c r="A20" s="1" t="s">
        <v>0</v>
      </c>
      <c r="B20" s="22" t="s">
        <v>1</v>
      </c>
      <c r="C20" s="22" t="s">
        <v>2</v>
      </c>
      <c r="D20" s="22" t="s">
        <v>3</v>
      </c>
      <c r="E20" s="22" t="s">
        <v>4</v>
      </c>
      <c r="F20" s="22" t="s">
        <v>5</v>
      </c>
      <c r="G20" s="22" t="s">
        <v>6</v>
      </c>
    </row>
    <row r="21" spans="1:7" ht="15.75" x14ac:dyDescent="0.25">
      <c r="A21" s="19">
        <v>12</v>
      </c>
      <c r="B21" s="19"/>
      <c r="C21" s="4" t="s">
        <v>8</v>
      </c>
      <c r="D21" s="21" t="s">
        <v>37</v>
      </c>
      <c r="E21" s="4" t="s">
        <v>11</v>
      </c>
      <c r="F21" s="17">
        <v>0.03</v>
      </c>
      <c r="G21" s="20">
        <f>B21*F21</f>
        <v>0</v>
      </c>
    </row>
    <row r="22" spans="1:7" ht="15" customHeight="1" x14ac:dyDescent="0.25">
      <c r="A22" s="19">
        <v>12</v>
      </c>
      <c r="B22" s="24"/>
      <c r="C22" s="4" t="s">
        <v>8</v>
      </c>
      <c r="D22" s="21" t="s">
        <v>38</v>
      </c>
      <c r="E22" s="4" t="s">
        <v>14</v>
      </c>
      <c r="F22" s="17">
        <v>0.13</v>
      </c>
      <c r="G22" s="25">
        <f>B22*F22</f>
        <v>0</v>
      </c>
    </row>
    <row r="23" spans="1:7" ht="15" customHeight="1" x14ac:dyDescent="0.25">
      <c r="A23" s="19">
        <v>12</v>
      </c>
      <c r="B23" s="24"/>
      <c r="C23" s="4" t="s">
        <v>8</v>
      </c>
      <c r="D23" s="21" t="s">
        <v>39</v>
      </c>
      <c r="E23" s="4" t="s">
        <v>11</v>
      </c>
      <c r="F23" s="17">
        <v>0.13</v>
      </c>
      <c r="G23" s="25">
        <f>B23*F23</f>
        <v>0</v>
      </c>
    </row>
    <row r="24" spans="1:7" ht="15.75" x14ac:dyDescent="0.25">
      <c r="A24" s="36" t="s">
        <v>17</v>
      </c>
      <c r="B24" s="36"/>
      <c r="C24" s="36"/>
      <c r="D24" s="36"/>
      <c r="E24" s="36"/>
      <c r="F24" s="36"/>
      <c r="G24" s="14">
        <f>SUM(G21:G23)</f>
        <v>0</v>
      </c>
    </row>
    <row r="25" spans="1:7" ht="45" customHeight="1" x14ac:dyDescent="0.25">
      <c r="A25" s="18"/>
      <c r="B25" s="37"/>
      <c r="C25" s="37"/>
      <c r="E25" s="37"/>
      <c r="F25" s="37"/>
      <c r="G25" s="18"/>
    </row>
    <row r="26" spans="1:7" ht="20.25" x14ac:dyDescent="0.3">
      <c r="A26" s="39" t="s">
        <v>40</v>
      </c>
      <c r="B26" s="39"/>
      <c r="C26" s="39"/>
      <c r="D26" s="39"/>
      <c r="E26" s="39"/>
      <c r="F26" s="39"/>
      <c r="G26" s="39"/>
    </row>
    <row r="27" spans="1:7" s="11" customFormat="1" ht="15.75" x14ac:dyDescent="0.25">
      <c r="A27" s="22" t="s">
        <v>0</v>
      </c>
      <c r="B27" s="22" t="s">
        <v>1</v>
      </c>
      <c r="C27" s="22" t="s">
        <v>2</v>
      </c>
      <c r="D27" s="22" t="s">
        <v>3</v>
      </c>
      <c r="E27" s="22" t="s">
        <v>4</v>
      </c>
      <c r="F27" s="22" t="s">
        <v>5</v>
      </c>
      <c r="G27" s="26" t="s">
        <v>6</v>
      </c>
    </row>
    <row r="28" spans="1:7" ht="31.5" customHeight="1" x14ac:dyDescent="0.25">
      <c r="A28" s="19">
        <v>13</v>
      </c>
      <c r="B28" s="3">
        <v>0</v>
      </c>
      <c r="C28" s="4" t="s">
        <v>9</v>
      </c>
      <c r="D28" s="6" t="s">
        <v>68</v>
      </c>
      <c r="E28" s="31" t="s">
        <v>28</v>
      </c>
      <c r="F28" s="32">
        <v>15.99</v>
      </c>
      <c r="G28" s="27">
        <f>B28*F28</f>
        <v>0</v>
      </c>
    </row>
    <row r="29" spans="1:7" ht="15" customHeight="1" x14ac:dyDescent="0.25">
      <c r="A29" s="19">
        <v>13</v>
      </c>
      <c r="B29" s="3">
        <v>0</v>
      </c>
      <c r="C29" s="4" t="s">
        <v>8</v>
      </c>
      <c r="D29" s="21" t="s">
        <v>41</v>
      </c>
      <c r="E29" s="4" t="s">
        <v>26</v>
      </c>
      <c r="F29" s="17">
        <v>1.56</v>
      </c>
      <c r="G29" s="27">
        <f t="shared" ref="G29:G36" si="1">B29*F29</f>
        <v>0</v>
      </c>
    </row>
    <row r="30" spans="1:7" ht="15.75" x14ac:dyDescent="0.25">
      <c r="A30" s="19">
        <v>13</v>
      </c>
      <c r="B30" s="19">
        <v>0</v>
      </c>
      <c r="C30" s="4" t="s">
        <v>42</v>
      </c>
      <c r="D30" s="21" t="s">
        <v>43</v>
      </c>
      <c r="E30" s="4" t="s">
        <v>44</v>
      </c>
      <c r="F30" s="17">
        <v>0.22</v>
      </c>
      <c r="G30" s="27">
        <f t="shared" si="1"/>
        <v>0</v>
      </c>
    </row>
    <row r="31" spans="1:7" ht="15.75" x14ac:dyDescent="0.25">
      <c r="A31" s="19">
        <v>13</v>
      </c>
      <c r="B31" s="19">
        <v>0</v>
      </c>
      <c r="C31" s="4" t="s">
        <v>9</v>
      </c>
      <c r="D31" s="21" t="s">
        <v>45</v>
      </c>
      <c r="E31" s="4" t="s">
        <v>26</v>
      </c>
      <c r="F31" s="17">
        <v>7.08</v>
      </c>
      <c r="G31" s="27">
        <f t="shared" si="1"/>
        <v>0</v>
      </c>
    </row>
    <row r="32" spans="1:7" ht="15.75" x14ac:dyDescent="0.25">
      <c r="A32" s="19">
        <v>13</v>
      </c>
      <c r="B32" s="19">
        <v>0</v>
      </c>
      <c r="C32" s="4" t="s">
        <v>8</v>
      </c>
      <c r="D32" s="21" t="s">
        <v>46</v>
      </c>
      <c r="E32" s="4" t="s">
        <v>47</v>
      </c>
      <c r="F32" s="17">
        <v>0.79</v>
      </c>
      <c r="G32" s="27">
        <f t="shared" si="1"/>
        <v>0</v>
      </c>
    </row>
    <row r="33" spans="1:7" ht="15.75" x14ac:dyDescent="0.25">
      <c r="A33" s="19">
        <v>13</v>
      </c>
      <c r="B33" s="19">
        <v>0</v>
      </c>
      <c r="C33" s="4" t="s">
        <v>9</v>
      </c>
      <c r="D33" s="21" t="s">
        <v>48</v>
      </c>
      <c r="E33" s="4" t="s">
        <v>49</v>
      </c>
      <c r="F33" s="17">
        <v>7.12</v>
      </c>
      <c r="G33" s="27">
        <f t="shared" si="1"/>
        <v>0</v>
      </c>
    </row>
    <row r="34" spans="1:7" ht="15.75" x14ac:dyDescent="0.25">
      <c r="A34" s="19">
        <v>13</v>
      </c>
      <c r="B34" s="3">
        <v>0</v>
      </c>
      <c r="C34" s="4" t="s">
        <v>9</v>
      </c>
      <c r="D34" s="21" t="s">
        <v>50</v>
      </c>
      <c r="E34" s="4" t="s">
        <v>26</v>
      </c>
      <c r="F34" s="17">
        <v>6.62</v>
      </c>
      <c r="G34" s="27">
        <f>B34*F34</f>
        <v>0</v>
      </c>
    </row>
    <row r="35" spans="1:7" ht="31.5" x14ac:dyDescent="0.25">
      <c r="A35" s="19">
        <v>13</v>
      </c>
      <c r="B35" s="2">
        <v>0</v>
      </c>
      <c r="C35" s="4" t="s">
        <v>9</v>
      </c>
      <c r="D35" s="21" t="s">
        <v>51</v>
      </c>
      <c r="E35" s="4" t="s">
        <v>21</v>
      </c>
      <c r="F35" s="17">
        <v>5.64</v>
      </c>
      <c r="G35" s="28">
        <f>B35*F35</f>
        <v>0</v>
      </c>
    </row>
    <row r="36" spans="1:7" ht="31.5" customHeight="1" x14ac:dyDescent="0.25">
      <c r="A36" s="19">
        <v>13</v>
      </c>
      <c r="B36" s="31">
        <v>0</v>
      </c>
      <c r="C36" s="4" t="s">
        <v>8</v>
      </c>
      <c r="D36" s="21" t="s">
        <v>52</v>
      </c>
      <c r="E36" s="4" t="s">
        <v>53</v>
      </c>
      <c r="F36" s="17">
        <v>0.56999999999999995</v>
      </c>
      <c r="G36" s="29">
        <f t="shared" si="1"/>
        <v>0</v>
      </c>
    </row>
    <row r="37" spans="1:7" ht="31.5" customHeight="1" x14ac:dyDescent="0.25">
      <c r="A37" s="19">
        <v>13</v>
      </c>
      <c r="B37" s="4">
        <v>0</v>
      </c>
      <c r="C37" s="4" t="s">
        <v>9</v>
      </c>
      <c r="D37" s="21" t="s">
        <v>54</v>
      </c>
      <c r="E37" s="4" t="s">
        <v>10</v>
      </c>
      <c r="F37" s="17">
        <v>8.2200000000000006</v>
      </c>
      <c r="G37" s="30">
        <f>B37*F37</f>
        <v>0</v>
      </c>
    </row>
    <row r="38" spans="1:7" ht="15.75" customHeight="1" x14ac:dyDescent="0.25">
      <c r="A38" s="19">
        <v>13</v>
      </c>
      <c r="B38" s="5">
        <v>0</v>
      </c>
      <c r="C38" s="4" t="s">
        <v>8</v>
      </c>
      <c r="D38" s="21" t="s">
        <v>55</v>
      </c>
      <c r="E38" s="4" t="s">
        <v>26</v>
      </c>
      <c r="F38" s="17">
        <v>0.21</v>
      </c>
      <c r="G38" s="30">
        <f>F38*B38</f>
        <v>0</v>
      </c>
    </row>
    <row r="39" spans="1:7" ht="15.75" x14ac:dyDescent="0.25">
      <c r="A39" s="19">
        <v>13</v>
      </c>
      <c r="B39" s="4">
        <v>0</v>
      </c>
      <c r="C39" s="4" t="s">
        <v>8</v>
      </c>
      <c r="D39" s="21" t="s">
        <v>56</v>
      </c>
      <c r="E39" s="4" t="s">
        <v>26</v>
      </c>
      <c r="F39" s="17">
        <v>0.18</v>
      </c>
      <c r="G39" s="30">
        <f>F39*B39</f>
        <v>0</v>
      </c>
    </row>
    <row r="40" spans="1:7" ht="15.75" x14ac:dyDescent="0.25">
      <c r="A40" s="19">
        <v>13</v>
      </c>
      <c r="B40" s="4">
        <v>0</v>
      </c>
      <c r="C40" s="4" t="s">
        <v>8</v>
      </c>
      <c r="D40" s="21" t="s">
        <v>57</v>
      </c>
      <c r="E40" s="4" t="s">
        <v>26</v>
      </c>
      <c r="F40" s="17">
        <v>0.33</v>
      </c>
      <c r="G40" s="30">
        <f>F40*B40</f>
        <v>0</v>
      </c>
    </row>
    <row r="41" spans="1:7" ht="15.75" x14ac:dyDescent="0.25">
      <c r="A41" s="19">
        <v>13</v>
      </c>
      <c r="B41" s="4">
        <v>0</v>
      </c>
      <c r="C41" s="4" t="s">
        <v>58</v>
      </c>
      <c r="D41" s="21" t="s">
        <v>59</v>
      </c>
      <c r="E41" s="4" t="s">
        <v>26</v>
      </c>
      <c r="F41" s="17">
        <v>5.97</v>
      </c>
      <c r="G41" s="30">
        <f t="shared" ref="G41:G46" si="2">F41*B41</f>
        <v>0</v>
      </c>
    </row>
    <row r="42" spans="1:7" ht="15.75" x14ac:dyDescent="0.25">
      <c r="A42" s="19">
        <v>13</v>
      </c>
      <c r="B42" s="5">
        <v>0</v>
      </c>
      <c r="C42" s="4" t="s">
        <v>58</v>
      </c>
      <c r="D42" s="21" t="s">
        <v>60</v>
      </c>
      <c r="E42" s="4" t="s">
        <v>11</v>
      </c>
      <c r="F42" s="17">
        <v>6.31</v>
      </c>
      <c r="G42" s="30">
        <f t="shared" si="2"/>
        <v>0</v>
      </c>
    </row>
    <row r="43" spans="1:7" ht="15.75" x14ac:dyDescent="0.25">
      <c r="A43" s="19">
        <v>13</v>
      </c>
      <c r="B43" s="5">
        <v>0</v>
      </c>
      <c r="C43" s="4" t="s">
        <v>58</v>
      </c>
      <c r="D43" s="21" t="s">
        <v>61</v>
      </c>
      <c r="E43" s="4" t="s">
        <v>53</v>
      </c>
      <c r="F43" s="17">
        <v>5.45</v>
      </c>
      <c r="G43" s="30">
        <f t="shared" si="2"/>
        <v>0</v>
      </c>
    </row>
    <row r="44" spans="1:7" ht="15.75" x14ac:dyDescent="0.25">
      <c r="A44" s="19">
        <v>13</v>
      </c>
      <c r="B44" s="4">
        <v>0</v>
      </c>
      <c r="C44" s="4" t="s">
        <v>62</v>
      </c>
      <c r="D44" s="21" t="s">
        <v>63</v>
      </c>
      <c r="E44" s="4" t="s">
        <v>64</v>
      </c>
      <c r="F44" s="17">
        <v>35.090000000000003</v>
      </c>
      <c r="G44" s="30">
        <f t="shared" si="2"/>
        <v>0</v>
      </c>
    </row>
    <row r="45" spans="1:7" ht="31.5" x14ac:dyDescent="0.25">
      <c r="A45" s="19">
        <v>13</v>
      </c>
      <c r="B45" s="5">
        <v>0</v>
      </c>
      <c r="C45" s="4" t="s">
        <v>8</v>
      </c>
      <c r="D45" s="21" t="s">
        <v>65</v>
      </c>
      <c r="E45" s="4" t="s">
        <v>66</v>
      </c>
      <c r="F45" s="17">
        <v>0.18</v>
      </c>
      <c r="G45" s="30">
        <f t="shared" si="2"/>
        <v>0</v>
      </c>
    </row>
    <row r="46" spans="1:7" ht="31.5" x14ac:dyDescent="0.25">
      <c r="A46" s="19">
        <v>13</v>
      </c>
      <c r="B46" s="5">
        <v>0</v>
      </c>
      <c r="C46" s="4" t="s">
        <v>9</v>
      </c>
      <c r="D46" s="21" t="s">
        <v>67</v>
      </c>
      <c r="E46" s="4" t="s">
        <v>14</v>
      </c>
      <c r="F46" s="17">
        <v>3.72</v>
      </c>
      <c r="G46" s="30">
        <f t="shared" si="2"/>
        <v>0</v>
      </c>
    </row>
    <row r="47" spans="1:7" ht="15.75" x14ac:dyDescent="0.25">
      <c r="A47" s="41" t="s">
        <v>17</v>
      </c>
      <c r="B47" s="41"/>
      <c r="C47" s="41"/>
      <c r="D47" s="41"/>
      <c r="E47" s="41"/>
      <c r="F47" s="41"/>
      <c r="G47" s="14">
        <f>SUM(G28:G46)</f>
        <v>0</v>
      </c>
    </row>
    <row r="48" spans="1:7" ht="45" customHeight="1" x14ac:dyDescent="0.25">
      <c r="A48" s="18"/>
      <c r="B48" s="37"/>
      <c r="C48" s="37"/>
      <c r="E48" s="37"/>
      <c r="F48" s="37"/>
      <c r="G48" s="18"/>
    </row>
    <row r="49" spans="1:7" s="16" customFormat="1" ht="39.950000000000003" customHeight="1" x14ac:dyDescent="0.25">
      <c r="A49" s="38" t="s">
        <v>69</v>
      </c>
      <c r="B49" s="38"/>
      <c r="C49" s="38"/>
      <c r="D49" s="38"/>
      <c r="E49" s="38"/>
      <c r="F49" s="38"/>
      <c r="G49" s="38"/>
    </row>
    <row r="50" spans="1:7" s="11" customFormat="1" ht="15.75" x14ac:dyDescent="0.25">
      <c r="A50" s="22" t="s">
        <v>0</v>
      </c>
      <c r="B50" s="22" t="s">
        <v>7</v>
      </c>
      <c r="C50" s="22" t="s">
        <v>2</v>
      </c>
      <c r="D50" s="22" t="s">
        <v>3</v>
      </c>
      <c r="E50" s="22" t="s">
        <v>4</v>
      </c>
      <c r="F50" s="22" t="s">
        <v>5</v>
      </c>
      <c r="G50" s="22" t="s">
        <v>6</v>
      </c>
    </row>
    <row r="51" spans="1:7" ht="15.75" x14ac:dyDescent="0.25">
      <c r="A51" s="19">
        <v>14</v>
      </c>
      <c r="B51" s="2">
        <v>0</v>
      </c>
      <c r="C51" s="4" t="s">
        <v>8</v>
      </c>
      <c r="D51" s="21" t="s">
        <v>70</v>
      </c>
      <c r="E51" s="4" t="s">
        <v>71</v>
      </c>
      <c r="F51" s="17">
        <v>0.05</v>
      </c>
      <c r="G51" s="7">
        <f>B51*F51</f>
        <v>0</v>
      </c>
    </row>
    <row r="52" spans="1:7" ht="15.75" x14ac:dyDescent="0.25">
      <c r="A52" s="19">
        <v>14</v>
      </c>
      <c r="B52" s="2">
        <v>0</v>
      </c>
      <c r="C52" s="4" t="s">
        <v>8</v>
      </c>
      <c r="D52" s="21" t="s">
        <v>72</v>
      </c>
      <c r="E52" s="4" t="s">
        <v>21</v>
      </c>
      <c r="F52" s="17">
        <v>0.04</v>
      </c>
      <c r="G52" s="7">
        <f t="shared" ref="G52:G70" si="3">B52*F52</f>
        <v>0</v>
      </c>
    </row>
    <row r="53" spans="1:7" ht="15.75" x14ac:dyDescent="0.25">
      <c r="A53" s="19">
        <v>14</v>
      </c>
      <c r="B53" s="2">
        <v>0</v>
      </c>
      <c r="C53" s="4" t="s">
        <v>9</v>
      </c>
      <c r="D53" s="21" t="s">
        <v>73</v>
      </c>
      <c r="E53" s="4" t="s">
        <v>74</v>
      </c>
      <c r="F53" s="17">
        <v>2.54</v>
      </c>
      <c r="G53" s="7">
        <f t="shared" si="3"/>
        <v>0</v>
      </c>
    </row>
    <row r="54" spans="1:7" ht="15.75" x14ac:dyDescent="0.25">
      <c r="A54" s="19">
        <v>14</v>
      </c>
      <c r="B54" s="2">
        <v>0</v>
      </c>
      <c r="C54" s="4" t="s">
        <v>8</v>
      </c>
      <c r="D54" s="21" t="s">
        <v>75</v>
      </c>
      <c r="E54" s="4" t="s">
        <v>76</v>
      </c>
      <c r="F54" s="17">
        <v>1.32</v>
      </c>
      <c r="G54" s="7">
        <f t="shared" si="3"/>
        <v>0</v>
      </c>
    </row>
    <row r="55" spans="1:7" ht="31.5" x14ac:dyDescent="0.25">
      <c r="A55" s="19">
        <v>14</v>
      </c>
      <c r="B55" s="2">
        <v>0</v>
      </c>
      <c r="C55" s="4" t="s">
        <v>9</v>
      </c>
      <c r="D55" s="21" t="s">
        <v>77</v>
      </c>
      <c r="E55" s="4" t="s">
        <v>12</v>
      </c>
      <c r="F55" s="17">
        <v>6.1</v>
      </c>
      <c r="G55" s="7">
        <f t="shared" si="3"/>
        <v>0</v>
      </c>
    </row>
    <row r="56" spans="1:7" ht="31.5" x14ac:dyDescent="0.25">
      <c r="A56" s="19">
        <v>14</v>
      </c>
      <c r="B56" s="2">
        <v>0</v>
      </c>
      <c r="C56" s="4" t="s">
        <v>9</v>
      </c>
      <c r="D56" s="21" t="s">
        <v>78</v>
      </c>
      <c r="E56" s="4" t="s">
        <v>12</v>
      </c>
      <c r="F56" s="17">
        <v>8.5399999999999991</v>
      </c>
      <c r="G56" s="7">
        <f t="shared" si="3"/>
        <v>0</v>
      </c>
    </row>
    <row r="57" spans="1:7" ht="31.5" x14ac:dyDescent="0.25">
      <c r="A57" s="19">
        <v>14</v>
      </c>
      <c r="B57" s="2">
        <v>0</v>
      </c>
      <c r="C57" s="4" t="s">
        <v>9</v>
      </c>
      <c r="D57" s="21" t="s">
        <v>79</v>
      </c>
      <c r="E57" s="4" t="s">
        <v>74</v>
      </c>
      <c r="F57" s="17">
        <v>4.53</v>
      </c>
      <c r="G57" s="7">
        <f t="shared" si="3"/>
        <v>0</v>
      </c>
    </row>
    <row r="58" spans="1:7" ht="31.5" x14ac:dyDescent="0.25">
      <c r="A58" s="19">
        <v>14</v>
      </c>
      <c r="B58" s="2">
        <v>0</v>
      </c>
      <c r="C58" s="4" t="s">
        <v>9</v>
      </c>
      <c r="D58" s="21" t="s">
        <v>80</v>
      </c>
      <c r="E58" s="4" t="s">
        <v>74</v>
      </c>
      <c r="F58" s="17">
        <v>4.34</v>
      </c>
      <c r="G58" s="7">
        <f t="shared" si="3"/>
        <v>0</v>
      </c>
    </row>
    <row r="59" spans="1:7" ht="15.75" x14ac:dyDescent="0.25">
      <c r="A59" s="19">
        <v>14</v>
      </c>
      <c r="B59" s="2">
        <v>0</v>
      </c>
      <c r="C59" s="4" t="s">
        <v>8</v>
      </c>
      <c r="D59" s="21" t="s">
        <v>81</v>
      </c>
      <c r="E59" s="4" t="s">
        <v>26</v>
      </c>
      <c r="F59" s="17">
        <v>0.43</v>
      </c>
      <c r="G59" s="7">
        <f t="shared" si="3"/>
        <v>0</v>
      </c>
    </row>
    <row r="60" spans="1:7" ht="47.25" x14ac:dyDescent="0.25">
      <c r="A60" s="19">
        <v>14</v>
      </c>
      <c r="B60" s="2">
        <v>0</v>
      </c>
      <c r="C60" s="31" t="s">
        <v>9</v>
      </c>
      <c r="D60" s="21" t="s">
        <v>125</v>
      </c>
      <c r="E60" s="31" t="s">
        <v>11</v>
      </c>
      <c r="F60" s="32">
        <v>1.19</v>
      </c>
      <c r="G60" s="7">
        <f t="shared" si="3"/>
        <v>0</v>
      </c>
    </row>
    <row r="61" spans="1:7" ht="15.75" x14ac:dyDescent="0.25">
      <c r="A61" s="19">
        <v>14</v>
      </c>
      <c r="B61" s="2">
        <v>0</v>
      </c>
      <c r="C61" s="4" t="s">
        <v>9</v>
      </c>
      <c r="D61" s="21" t="s">
        <v>82</v>
      </c>
      <c r="E61" s="4" t="s">
        <v>74</v>
      </c>
      <c r="F61" s="17">
        <v>2.4</v>
      </c>
      <c r="G61" s="7">
        <f t="shared" si="3"/>
        <v>0</v>
      </c>
    </row>
    <row r="62" spans="1:7" ht="15.75" x14ac:dyDescent="0.25">
      <c r="A62" s="19">
        <v>14</v>
      </c>
      <c r="B62" s="2">
        <v>0</v>
      </c>
      <c r="C62" s="4" t="s">
        <v>9</v>
      </c>
      <c r="D62" s="21" t="s">
        <v>83</v>
      </c>
      <c r="E62" s="4" t="s">
        <v>84</v>
      </c>
      <c r="F62" s="17">
        <v>2.91</v>
      </c>
      <c r="G62" s="7">
        <f t="shared" si="3"/>
        <v>0</v>
      </c>
    </row>
    <row r="63" spans="1:7" ht="15.75" x14ac:dyDescent="0.25">
      <c r="A63" s="19">
        <v>14</v>
      </c>
      <c r="B63" s="2">
        <v>0</v>
      </c>
      <c r="C63" s="4" t="s">
        <v>9</v>
      </c>
      <c r="D63" s="21" t="s">
        <v>85</v>
      </c>
      <c r="E63" s="4" t="s">
        <v>16</v>
      </c>
      <c r="F63" s="17">
        <v>1.2</v>
      </c>
      <c r="G63" s="7">
        <f t="shared" si="3"/>
        <v>0</v>
      </c>
    </row>
    <row r="64" spans="1:7" ht="15.75" x14ac:dyDescent="0.25">
      <c r="A64" s="19">
        <v>14</v>
      </c>
      <c r="B64" s="2">
        <v>0</v>
      </c>
      <c r="C64" s="4" t="s">
        <v>9</v>
      </c>
      <c r="D64" s="21" t="s">
        <v>86</v>
      </c>
      <c r="E64" s="4" t="s">
        <v>74</v>
      </c>
      <c r="F64" s="17">
        <v>2.23</v>
      </c>
      <c r="G64" s="7">
        <f t="shared" si="3"/>
        <v>0</v>
      </c>
    </row>
    <row r="65" spans="1:7" ht="15.75" x14ac:dyDescent="0.25">
      <c r="A65" s="19">
        <v>14</v>
      </c>
      <c r="B65" s="2">
        <v>0</v>
      </c>
      <c r="C65" s="4" t="s">
        <v>8</v>
      </c>
      <c r="D65" s="21" t="s">
        <v>87</v>
      </c>
      <c r="E65" s="4" t="s">
        <v>21</v>
      </c>
      <c r="F65" s="17">
        <v>0.06</v>
      </c>
      <c r="G65" s="7">
        <f t="shared" si="3"/>
        <v>0</v>
      </c>
    </row>
    <row r="66" spans="1:7" ht="15.75" x14ac:dyDescent="0.25">
      <c r="A66" s="19">
        <v>14</v>
      </c>
      <c r="B66" s="2">
        <v>0</v>
      </c>
      <c r="C66" s="4" t="s">
        <v>8</v>
      </c>
      <c r="D66" s="21" t="s">
        <v>88</v>
      </c>
      <c r="E66" s="4" t="s">
        <v>11</v>
      </c>
      <c r="F66" s="17">
        <v>0.05</v>
      </c>
      <c r="G66" s="7">
        <f t="shared" si="3"/>
        <v>0</v>
      </c>
    </row>
    <row r="67" spans="1:7" ht="15.75" x14ac:dyDescent="0.25">
      <c r="A67" s="19">
        <v>14</v>
      </c>
      <c r="B67" s="2">
        <v>0</v>
      </c>
      <c r="C67" s="4" t="s">
        <v>8</v>
      </c>
      <c r="D67" s="21" t="s">
        <v>89</v>
      </c>
      <c r="E67" s="4" t="s">
        <v>26</v>
      </c>
      <c r="F67" s="17">
        <v>0.12</v>
      </c>
      <c r="G67" s="7">
        <f t="shared" si="3"/>
        <v>0</v>
      </c>
    </row>
    <row r="68" spans="1:7" ht="15.75" x14ac:dyDescent="0.25">
      <c r="A68" s="19">
        <v>14</v>
      </c>
      <c r="B68" s="2">
        <v>0</v>
      </c>
      <c r="C68" s="4" t="s">
        <v>9</v>
      </c>
      <c r="D68" s="21" t="s">
        <v>90</v>
      </c>
      <c r="E68" s="4" t="s">
        <v>74</v>
      </c>
      <c r="F68" s="17">
        <v>1.3</v>
      </c>
      <c r="G68" s="7">
        <f t="shared" si="3"/>
        <v>0</v>
      </c>
    </row>
    <row r="69" spans="1:7" ht="15.75" x14ac:dyDescent="0.25">
      <c r="A69" s="19">
        <v>14</v>
      </c>
      <c r="B69" s="2">
        <v>0</v>
      </c>
      <c r="C69" s="4" t="s">
        <v>8</v>
      </c>
      <c r="D69" s="21" t="s">
        <v>91</v>
      </c>
      <c r="E69" s="4" t="s">
        <v>21</v>
      </c>
      <c r="F69" s="17">
        <v>0.19</v>
      </c>
      <c r="G69" s="7">
        <f t="shared" si="3"/>
        <v>0</v>
      </c>
    </row>
    <row r="70" spans="1:7" ht="15.75" x14ac:dyDescent="0.25">
      <c r="A70" s="19">
        <v>14</v>
      </c>
      <c r="B70" s="2">
        <v>0</v>
      </c>
      <c r="C70" s="4" t="s">
        <v>8</v>
      </c>
      <c r="D70" s="21" t="s">
        <v>92</v>
      </c>
      <c r="E70" s="4" t="s">
        <v>21</v>
      </c>
      <c r="F70" s="17">
        <v>0.37</v>
      </c>
      <c r="G70" s="7">
        <f t="shared" si="3"/>
        <v>0</v>
      </c>
    </row>
    <row r="71" spans="1:7" ht="15.75" x14ac:dyDescent="0.25">
      <c r="A71" s="19">
        <v>14</v>
      </c>
      <c r="B71" s="2">
        <v>0</v>
      </c>
      <c r="C71" s="4" t="s">
        <v>8</v>
      </c>
      <c r="D71" s="21" t="s">
        <v>93</v>
      </c>
      <c r="E71" s="4" t="s">
        <v>16</v>
      </c>
      <c r="F71" s="17">
        <v>0.61</v>
      </c>
      <c r="G71" s="7">
        <f>B71*F71</f>
        <v>0</v>
      </c>
    </row>
    <row r="72" spans="1:7" ht="15.75" x14ac:dyDescent="0.25">
      <c r="A72" s="19">
        <v>14</v>
      </c>
      <c r="B72" s="2">
        <v>0</v>
      </c>
      <c r="C72" s="4" t="s">
        <v>42</v>
      </c>
      <c r="D72" s="21" t="s">
        <v>94</v>
      </c>
      <c r="E72" s="4" t="s">
        <v>66</v>
      </c>
      <c r="F72" s="17">
        <v>0.5</v>
      </c>
      <c r="G72" s="7">
        <f t="shared" ref="G72:G97" si="4">B72*F72</f>
        <v>0</v>
      </c>
    </row>
    <row r="73" spans="1:7" ht="15.75" x14ac:dyDescent="0.25">
      <c r="A73" s="19">
        <v>14</v>
      </c>
      <c r="B73" s="2">
        <v>0</v>
      </c>
      <c r="C73" s="4" t="s">
        <v>8</v>
      </c>
      <c r="D73" s="21" t="s">
        <v>95</v>
      </c>
      <c r="E73" s="4" t="s">
        <v>10</v>
      </c>
      <c r="F73" s="17">
        <v>0.28999999999999998</v>
      </c>
      <c r="G73" s="7">
        <f t="shared" si="4"/>
        <v>0</v>
      </c>
    </row>
    <row r="74" spans="1:7" ht="15.75" x14ac:dyDescent="0.25">
      <c r="A74" s="19">
        <v>14</v>
      </c>
      <c r="B74" s="2">
        <v>0</v>
      </c>
      <c r="C74" s="4" t="s">
        <v>8</v>
      </c>
      <c r="D74" s="21" t="s">
        <v>96</v>
      </c>
      <c r="E74" s="4" t="s">
        <v>15</v>
      </c>
      <c r="F74" s="17">
        <v>0.14000000000000001</v>
      </c>
      <c r="G74" s="7">
        <f t="shared" si="4"/>
        <v>0</v>
      </c>
    </row>
    <row r="75" spans="1:7" ht="15.75" x14ac:dyDescent="0.25">
      <c r="A75" s="19">
        <v>14</v>
      </c>
      <c r="B75" s="2">
        <v>0</v>
      </c>
      <c r="C75" s="4" t="s">
        <v>9</v>
      </c>
      <c r="D75" s="21" t="s">
        <v>97</v>
      </c>
      <c r="E75" s="4" t="s">
        <v>84</v>
      </c>
      <c r="F75" s="17">
        <v>2.2599999999999998</v>
      </c>
      <c r="G75" s="7">
        <f t="shared" si="4"/>
        <v>0</v>
      </c>
    </row>
    <row r="76" spans="1:7" ht="15.75" x14ac:dyDescent="0.25">
      <c r="A76" s="19">
        <v>14</v>
      </c>
      <c r="B76" s="2">
        <v>0</v>
      </c>
      <c r="C76" s="4" t="s">
        <v>9</v>
      </c>
      <c r="D76" s="21" t="s">
        <v>98</v>
      </c>
      <c r="E76" s="4" t="s">
        <v>10</v>
      </c>
      <c r="F76" s="17">
        <v>5.18</v>
      </c>
      <c r="G76" s="7">
        <f t="shared" si="4"/>
        <v>0</v>
      </c>
    </row>
    <row r="77" spans="1:7" ht="15.75" x14ac:dyDescent="0.25">
      <c r="A77" s="19">
        <v>14</v>
      </c>
      <c r="B77" s="2">
        <v>0</v>
      </c>
      <c r="C77" s="4" t="s">
        <v>58</v>
      </c>
      <c r="D77" s="21" t="s">
        <v>99</v>
      </c>
      <c r="E77" s="4" t="s">
        <v>16</v>
      </c>
      <c r="F77" s="17">
        <v>4.82</v>
      </c>
      <c r="G77" s="7">
        <f t="shared" si="4"/>
        <v>0</v>
      </c>
    </row>
    <row r="78" spans="1:7" ht="15.75" x14ac:dyDescent="0.25">
      <c r="A78" s="19">
        <v>14</v>
      </c>
      <c r="B78" s="2">
        <v>0</v>
      </c>
      <c r="C78" s="4" t="s">
        <v>9</v>
      </c>
      <c r="D78" s="21" t="s">
        <v>100</v>
      </c>
      <c r="E78" s="4" t="s">
        <v>28</v>
      </c>
      <c r="F78" s="17">
        <v>3.11</v>
      </c>
      <c r="G78" s="7">
        <f t="shared" si="4"/>
        <v>0</v>
      </c>
    </row>
    <row r="79" spans="1:7" ht="15.75" x14ac:dyDescent="0.25">
      <c r="A79" s="19">
        <v>14</v>
      </c>
      <c r="B79" s="2">
        <v>0</v>
      </c>
      <c r="C79" s="4" t="s">
        <v>9</v>
      </c>
      <c r="D79" s="21" t="s">
        <v>101</v>
      </c>
      <c r="E79" s="4" t="s">
        <v>26</v>
      </c>
      <c r="F79" s="17">
        <v>4.33</v>
      </c>
      <c r="G79" s="7">
        <f t="shared" si="4"/>
        <v>0</v>
      </c>
    </row>
    <row r="80" spans="1:7" ht="15.75" customHeight="1" x14ac:dyDescent="0.25">
      <c r="A80" s="19">
        <v>14</v>
      </c>
      <c r="B80" s="2">
        <v>0</v>
      </c>
      <c r="C80" s="4" t="s">
        <v>58</v>
      </c>
      <c r="D80" s="21" t="s">
        <v>102</v>
      </c>
      <c r="E80" s="4" t="s">
        <v>26</v>
      </c>
      <c r="F80" s="17">
        <v>7.99</v>
      </c>
      <c r="G80" s="7">
        <f t="shared" si="4"/>
        <v>0</v>
      </c>
    </row>
    <row r="81" spans="1:7" ht="15.75" x14ac:dyDescent="0.25">
      <c r="A81" s="19">
        <v>14</v>
      </c>
      <c r="B81" s="2">
        <v>0</v>
      </c>
      <c r="C81" s="4" t="s">
        <v>103</v>
      </c>
      <c r="D81" s="21" t="s">
        <v>104</v>
      </c>
      <c r="E81" s="4" t="s">
        <v>16</v>
      </c>
      <c r="F81" s="17">
        <v>3.03</v>
      </c>
      <c r="G81" s="7">
        <f t="shared" si="4"/>
        <v>0</v>
      </c>
    </row>
    <row r="82" spans="1:7" ht="15.75" x14ac:dyDescent="0.25">
      <c r="A82" s="19">
        <v>14</v>
      </c>
      <c r="B82" s="2">
        <v>0</v>
      </c>
      <c r="C82" s="4" t="s">
        <v>42</v>
      </c>
      <c r="D82" s="21" t="s">
        <v>105</v>
      </c>
      <c r="E82" s="4" t="s">
        <v>16</v>
      </c>
      <c r="F82" s="17">
        <v>0.06</v>
      </c>
      <c r="G82" s="7">
        <f t="shared" si="4"/>
        <v>0</v>
      </c>
    </row>
    <row r="83" spans="1:7" ht="31.5" x14ac:dyDescent="0.25">
      <c r="A83" s="19">
        <v>14</v>
      </c>
      <c r="B83" s="2">
        <v>0</v>
      </c>
      <c r="C83" s="4" t="s">
        <v>8</v>
      </c>
      <c r="D83" s="21" t="s">
        <v>106</v>
      </c>
      <c r="E83" s="4" t="s">
        <v>107</v>
      </c>
      <c r="F83" s="17">
        <v>0.21</v>
      </c>
      <c r="G83" s="7">
        <f t="shared" si="4"/>
        <v>0</v>
      </c>
    </row>
    <row r="84" spans="1:7" ht="15.75" x14ac:dyDescent="0.25">
      <c r="A84" s="19">
        <v>14</v>
      </c>
      <c r="B84" s="2">
        <v>0</v>
      </c>
      <c r="C84" s="4" t="s">
        <v>8</v>
      </c>
      <c r="D84" s="21" t="s">
        <v>108</v>
      </c>
      <c r="E84" s="4" t="s">
        <v>74</v>
      </c>
      <c r="F84" s="17">
        <v>7.0000000000000007E-2</v>
      </c>
      <c r="G84" s="7">
        <f t="shared" si="4"/>
        <v>0</v>
      </c>
    </row>
    <row r="85" spans="1:7" ht="15.75" x14ac:dyDescent="0.25">
      <c r="A85" s="19">
        <v>14</v>
      </c>
      <c r="B85" s="2">
        <v>0</v>
      </c>
      <c r="C85" s="4" t="s">
        <v>8</v>
      </c>
      <c r="D85" s="21" t="s">
        <v>109</v>
      </c>
      <c r="E85" s="4" t="s">
        <v>66</v>
      </c>
      <c r="F85" s="17">
        <v>0.14000000000000001</v>
      </c>
      <c r="G85" s="7">
        <f t="shared" si="4"/>
        <v>0</v>
      </c>
    </row>
    <row r="86" spans="1:7" ht="15.75" x14ac:dyDescent="0.25">
      <c r="A86" s="19">
        <v>14</v>
      </c>
      <c r="B86" s="2">
        <v>0</v>
      </c>
      <c r="C86" s="4" t="s">
        <v>9</v>
      </c>
      <c r="D86" s="21" t="s">
        <v>110</v>
      </c>
      <c r="E86" s="4" t="s">
        <v>15</v>
      </c>
      <c r="F86" s="17">
        <v>1.3</v>
      </c>
      <c r="G86" s="7">
        <f>B86*F86</f>
        <v>0</v>
      </c>
    </row>
    <row r="87" spans="1:7" ht="15.75" x14ac:dyDescent="0.25">
      <c r="A87" s="19">
        <v>14</v>
      </c>
      <c r="B87" s="2">
        <v>0</v>
      </c>
      <c r="C87" s="4" t="s">
        <v>8</v>
      </c>
      <c r="D87" s="21" t="s">
        <v>111</v>
      </c>
      <c r="E87" s="4" t="s">
        <v>13</v>
      </c>
      <c r="F87" s="17">
        <v>7.0000000000000007E-2</v>
      </c>
      <c r="G87" s="7">
        <f t="shared" si="4"/>
        <v>0</v>
      </c>
    </row>
    <row r="88" spans="1:7" ht="15.75" x14ac:dyDescent="0.25">
      <c r="A88" s="19">
        <v>14</v>
      </c>
      <c r="B88" s="2">
        <v>0</v>
      </c>
      <c r="C88" s="4" t="s">
        <v>8</v>
      </c>
      <c r="D88" s="21" t="s">
        <v>112</v>
      </c>
      <c r="E88" s="4" t="s">
        <v>16</v>
      </c>
      <c r="F88" s="17">
        <v>0.16</v>
      </c>
      <c r="G88" s="7">
        <f t="shared" si="4"/>
        <v>0</v>
      </c>
    </row>
    <row r="89" spans="1:7" ht="31.5" x14ac:dyDescent="0.25">
      <c r="A89" s="19">
        <v>14</v>
      </c>
      <c r="B89" s="2">
        <v>0</v>
      </c>
      <c r="C89" s="4" t="s">
        <v>9</v>
      </c>
      <c r="D89" s="21" t="s">
        <v>113</v>
      </c>
      <c r="E89" s="4" t="s">
        <v>16</v>
      </c>
      <c r="F89" s="17">
        <v>5.82</v>
      </c>
      <c r="G89" s="7">
        <f t="shared" si="4"/>
        <v>0</v>
      </c>
    </row>
    <row r="90" spans="1:7" ht="15.75" x14ac:dyDescent="0.25">
      <c r="A90" s="19">
        <v>14</v>
      </c>
      <c r="B90" s="2">
        <v>0</v>
      </c>
      <c r="C90" s="4" t="s">
        <v>8</v>
      </c>
      <c r="D90" s="21" t="s">
        <v>114</v>
      </c>
      <c r="E90" s="4" t="s">
        <v>16</v>
      </c>
      <c r="F90" s="17">
        <v>0.15</v>
      </c>
      <c r="G90" s="7">
        <f t="shared" si="4"/>
        <v>0</v>
      </c>
    </row>
    <row r="91" spans="1:7" ht="15.75" x14ac:dyDescent="0.25">
      <c r="A91" s="19">
        <v>14</v>
      </c>
      <c r="B91" s="2">
        <v>0</v>
      </c>
      <c r="C91" s="4" t="s">
        <v>9</v>
      </c>
      <c r="D91" s="21" t="s">
        <v>115</v>
      </c>
      <c r="E91" s="4" t="s">
        <v>116</v>
      </c>
      <c r="F91" s="17">
        <v>14.54</v>
      </c>
      <c r="G91" s="7">
        <f t="shared" si="4"/>
        <v>0</v>
      </c>
    </row>
    <row r="92" spans="1:7" ht="15.75" x14ac:dyDescent="0.25">
      <c r="A92" s="19">
        <v>14</v>
      </c>
      <c r="B92" s="2">
        <v>0</v>
      </c>
      <c r="C92" s="4" t="s">
        <v>8</v>
      </c>
      <c r="D92" s="21" t="s">
        <v>117</v>
      </c>
      <c r="E92" s="4" t="s">
        <v>49</v>
      </c>
      <c r="F92" s="17">
        <v>0.85</v>
      </c>
      <c r="G92" s="7">
        <f t="shared" si="4"/>
        <v>0</v>
      </c>
    </row>
    <row r="93" spans="1:7" ht="15.75" x14ac:dyDescent="0.25">
      <c r="A93" s="19">
        <v>14</v>
      </c>
      <c r="B93" s="2">
        <v>0</v>
      </c>
      <c r="C93" s="4" t="s">
        <v>9</v>
      </c>
      <c r="D93" s="21" t="s">
        <v>118</v>
      </c>
      <c r="E93" s="4" t="s">
        <v>84</v>
      </c>
      <c r="F93" s="17">
        <v>3.18</v>
      </c>
      <c r="G93" s="7">
        <f t="shared" si="4"/>
        <v>0</v>
      </c>
    </row>
    <row r="94" spans="1:7" ht="15.75" x14ac:dyDescent="0.25">
      <c r="A94" s="19">
        <v>14</v>
      </c>
      <c r="B94" s="2">
        <v>0</v>
      </c>
      <c r="C94" s="4" t="s">
        <v>8</v>
      </c>
      <c r="D94" s="21" t="s">
        <v>119</v>
      </c>
      <c r="E94" s="4" t="s">
        <v>120</v>
      </c>
      <c r="F94" s="17">
        <v>0.04</v>
      </c>
      <c r="G94" s="7">
        <f t="shared" si="4"/>
        <v>0</v>
      </c>
    </row>
    <row r="95" spans="1:7" ht="15.75" x14ac:dyDescent="0.25">
      <c r="A95" s="19">
        <v>14</v>
      </c>
      <c r="B95" s="2">
        <v>0</v>
      </c>
      <c r="C95" s="4" t="s">
        <v>8</v>
      </c>
      <c r="D95" s="21" t="s">
        <v>121</v>
      </c>
      <c r="E95" s="4" t="s">
        <v>16</v>
      </c>
      <c r="F95" s="17">
        <v>0.23</v>
      </c>
      <c r="G95" s="7">
        <f>B95*F95</f>
        <v>0</v>
      </c>
    </row>
    <row r="96" spans="1:7" ht="15.75" x14ac:dyDescent="0.25">
      <c r="A96" s="19">
        <v>14</v>
      </c>
      <c r="B96" s="2">
        <v>0</v>
      </c>
      <c r="C96" s="4" t="s">
        <v>9</v>
      </c>
      <c r="D96" s="21" t="s">
        <v>122</v>
      </c>
      <c r="E96" s="4" t="s">
        <v>123</v>
      </c>
      <c r="F96" s="17">
        <v>1.1299999999999999</v>
      </c>
      <c r="G96" s="7">
        <f t="shared" si="4"/>
        <v>0</v>
      </c>
    </row>
    <row r="97" spans="1:7" ht="15.75" x14ac:dyDescent="0.25">
      <c r="A97" s="19">
        <v>14</v>
      </c>
      <c r="B97" s="2">
        <v>0</v>
      </c>
      <c r="C97" s="4" t="s">
        <v>8</v>
      </c>
      <c r="D97" s="21" t="s">
        <v>124</v>
      </c>
      <c r="E97" s="4" t="s">
        <v>74</v>
      </c>
      <c r="F97" s="17">
        <v>0.13</v>
      </c>
      <c r="G97" s="7">
        <f t="shared" si="4"/>
        <v>0</v>
      </c>
    </row>
    <row r="98" spans="1:7" ht="15.75" x14ac:dyDescent="0.25">
      <c r="A98" s="36" t="s">
        <v>17</v>
      </c>
      <c r="B98" s="36"/>
      <c r="C98" s="36"/>
      <c r="D98" s="36"/>
      <c r="E98" s="36"/>
      <c r="F98" s="36"/>
      <c r="G98" s="13">
        <f>SUM(G51:G97)</f>
        <v>0</v>
      </c>
    </row>
    <row r="99" spans="1:7" x14ac:dyDescent="0.25">
      <c r="A99" s="15"/>
      <c r="B99" s="15"/>
      <c r="C99" s="15"/>
      <c r="D99" s="15"/>
      <c r="E99" s="15"/>
      <c r="F99" s="15"/>
      <c r="G99" s="15"/>
    </row>
    <row r="100" spans="1:7" ht="15.75" x14ac:dyDescent="0.25">
      <c r="A100"/>
      <c r="B100" s="35">
        <v>0</v>
      </c>
      <c r="C100"/>
      <c r="D100" s="34" t="s">
        <v>126</v>
      </c>
      <c r="E100"/>
      <c r="F100"/>
      <c r="G100"/>
    </row>
    <row r="101" spans="1:7" ht="15.75" x14ac:dyDescent="0.25">
      <c r="A101"/>
      <c r="B101" s="35">
        <v>0</v>
      </c>
      <c r="C101"/>
      <c r="D101" s="34" t="s">
        <v>127</v>
      </c>
      <c r="E101"/>
      <c r="F101"/>
      <c r="G101"/>
    </row>
    <row r="102" spans="1:7" ht="15.75" x14ac:dyDescent="0.25">
      <c r="B102" s="35">
        <v>0</v>
      </c>
      <c r="D102" s="12" t="s">
        <v>128</v>
      </c>
    </row>
    <row r="103" spans="1:7" ht="15.75" x14ac:dyDescent="0.25">
      <c r="B103" s="35">
        <v>0</v>
      </c>
      <c r="D103" s="12" t="s">
        <v>129</v>
      </c>
    </row>
    <row r="104" spans="1:7" ht="15.75" x14ac:dyDescent="0.25">
      <c r="B104" s="35">
        <v>0</v>
      </c>
      <c r="D104" s="12" t="s">
        <v>130</v>
      </c>
    </row>
    <row r="105" spans="1:7" ht="15.75" x14ac:dyDescent="0.25">
      <c r="B105" s="35">
        <v>0</v>
      </c>
      <c r="D105" s="12" t="s">
        <v>131</v>
      </c>
    </row>
    <row r="106" spans="1:7" ht="15.75" x14ac:dyDescent="0.25">
      <c r="B106" s="35">
        <v>0</v>
      </c>
      <c r="D106" s="12" t="s">
        <v>132</v>
      </c>
    </row>
    <row r="107" spans="1:7" ht="15.75" x14ac:dyDescent="0.25">
      <c r="B107" s="35">
        <v>0</v>
      </c>
      <c r="D107" s="12" t="s">
        <v>133</v>
      </c>
    </row>
    <row r="108" spans="1:7" ht="15.75" x14ac:dyDescent="0.25">
      <c r="B108" s="35">
        <v>0</v>
      </c>
      <c r="D108" s="12" t="s">
        <v>134</v>
      </c>
    </row>
  </sheetData>
  <mergeCells count="16">
    <mergeCell ref="A98:F98"/>
    <mergeCell ref="B1:C1"/>
    <mergeCell ref="E1:F1"/>
    <mergeCell ref="A49:G49"/>
    <mergeCell ref="A26:G26"/>
    <mergeCell ref="A2:G2"/>
    <mergeCell ref="A19:G19"/>
    <mergeCell ref="A17:F17"/>
    <mergeCell ref="B18:C18"/>
    <mergeCell ref="E18:F18"/>
    <mergeCell ref="B25:C25"/>
    <mergeCell ref="E25:F25"/>
    <mergeCell ref="B48:C48"/>
    <mergeCell ref="E48:F48"/>
    <mergeCell ref="A24:F24"/>
    <mergeCell ref="A47:F47"/>
  </mergeCells>
  <pageMargins left="0.23622047244094491" right="0.23622047244094491" top="0.39370078740157483" bottom="0.39370078740157483" header="0.31496062992125984" footer="0.31496062992125984"/>
  <pageSetup paperSize="9" scale="82" fitToHeight="0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2025-11-26T12:53:41Z</dcterms:modified>
</cp:coreProperties>
</file>