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3A9DCE9-C118-4A9C-97E8-B52202B4FE0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F83" i="1"/>
  <c r="F84" i="1"/>
  <c r="F73" i="1"/>
  <c r="F74" i="1"/>
  <c r="F75" i="1"/>
  <c r="F76" i="1"/>
  <c r="F77" i="1"/>
  <c r="F78" i="1"/>
  <c r="F79" i="1"/>
  <c r="F80" i="1"/>
  <c r="F81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58" i="1"/>
  <c r="F18" i="1"/>
  <c r="F52" i="1" l="1"/>
  <c r="F53" i="1"/>
  <c r="F54" i="1"/>
  <c r="F55" i="1"/>
  <c r="F56" i="1"/>
  <c r="F57" i="1"/>
  <c r="F38" i="1"/>
  <c r="F51" i="1" l="1"/>
  <c r="F50" i="1"/>
  <c r="F49" i="1"/>
  <c r="F48" i="1"/>
  <c r="F47" i="1"/>
  <c r="F46" i="1"/>
  <c r="F45" i="1"/>
  <c r="F44" i="1"/>
  <c r="F43" i="1"/>
  <c r="F42" i="1"/>
  <c r="F41" i="1"/>
  <c r="F40" i="1"/>
  <c r="F39" i="1"/>
  <c r="F27" i="1"/>
  <c r="F26" i="1"/>
  <c r="F36" i="1"/>
  <c r="F37" i="1"/>
  <c r="F32" i="1"/>
  <c r="F33" i="1"/>
  <c r="F34" i="1"/>
  <c r="F35" i="1"/>
  <c r="F31" i="1"/>
  <c r="F30" i="1"/>
  <c r="F29" i="1"/>
  <c r="F28" i="1"/>
  <c r="F20" i="1"/>
  <c r="F21" i="1"/>
  <c r="F22" i="1"/>
  <c r="F23" i="1"/>
  <c r="F24" i="1"/>
  <c r="F25" i="1"/>
  <c r="F19" i="1"/>
  <c r="F17" i="1"/>
  <c r="F16" i="1"/>
  <c r="F4" i="1"/>
  <c r="F5" i="1"/>
  <c r="F6" i="1"/>
  <c r="F7" i="1"/>
  <c r="F8" i="1"/>
  <c r="F9" i="1"/>
  <c r="F10" i="1"/>
  <c r="F11" i="1"/>
  <c r="F12" i="1"/>
  <c r="F13" i="1"/>
  <c r="F14" i="1"/>
  <c r="F15" i="1"/>
  <c r="F3" i="1"/>
</calcChain>
</file>

<file path=xl/sharedStrings.xml><?xml version="1.0" encoding="utf-8"?>
<sst xmlns="http://schemas.openxmlformats.org/spreadsheetml/2006/main" count="252" uniqueCount="119">
  <si>
    <t>UNID.</t>
  </si>
  <si>
    <t>DESCRIÇÃO</t>
  </si>
  <si>
    <t>MARCA</t>
  </si>
  <si>
    <t>V. UNIT.</t>
  </si>
  <si>
    <t>V. TOTAL</t>
  </si>
  <si>
    <t>COMPRIMIDOS</t>
  </si>
  <si>
    <t>FRASCOS</t>
  </si>
  <si>
    <t>TEUTO</t>
  </si>
  <si>
    <t>GEOLAB</t>
  </si>
  <si>
    <t>EUROFARMA</t>
  </si>
  <si>
    <t>GLOBO</t>
  </si>
  <si>
    <t>VITAMEDIC</t>
  </si>
  <si>
    <t>FARMACE</t>
  </si>
  <si>
    <t>HIPOLABOR</t>
  </si>
  <si>
    <t>CAPTOPRIL 25 MG</t>
  </si>
  <si>
    <t>CAPTOPRIL 50 MG</t>
  </si>
  <si>
    <t>EMS</t>
  </si>
  <si>
    <t>ENALAPRIL 05MG</t>
  </si>
  <si>
    <t>ENALAPRIL 10MG</t>
  </si>
  <si>
    <t>ENALAPRIL 20MG</t>
  </si>
  <si>
    <t>FUROSEMIDA 40 MG</t>
  </si>
  <si>
    <t>PRATI DONADUZZI</t>
  </si>
  <si>
    <t>HIDROCLOROTIAZIDA 25 MG</t>
  </si>
  <si>
    <t>CIMED</t>
  </si>
  <si>
    <t>HIDROCLOROTIAZIDA 50 MG</t>
  </si>
  <si>
    <t>LOSARTANA POTASSICA 50 MG</t>
  </si>
  <si>
    <t>LOSARTANA POTASSICA 100 MG</t>
  </si>
  <si>
    <t>METILDOPA 250 MG</t>
  </si>
  <si>
    <t>METILDOPA 500MG</t>
  </si>
  <si>
    <t>PROPRANOLOL 40 MG</t>
  </si>
  <si>
    <t>OSÓRIO DE MORAES</t>
  </si>
  <si>
    <t>GLIBENCLAMIDA 05 MG</t>
  </si>
  <si>
    <t>METFORMINA 500 MG</t>
  </si>
  <si>
    <t>METFORMINA 850 MG</t>
  </si>
  <si>
    <t>AMOXICILINACLAVULONATO 500MG 125 MG</t>
  </si>
  <si>
    <t>CÁPSULAS</t>
  </si>
  <si>
    <t>AMOXICILINA 500 MG</t>
  </si>
  <si>
    <t>UNICHEM</t>
  </si>
  <si>
    <t>AMOXICILINA SUSP. ORAL 60 ML</t>
  </si>
  <si>
    <t>AZITROMICINA 500MG</t>
  </si>
  <si>
    <t>MEDQUIMICA</t>
  </si>
  <si>
    <t>AZITROMICINA 600MG 15ML</t>
  </si>
  <si>
    <t>PHARLAB</t>
  </si>
  <si>
    <t>AZITROMICINA 900MG 22,5ML</t>
  </si>
  <si>
    <t>BENZOILMETRONIDAZOL SUSP. ORAL 80ML</t>
  </si>
  <si>
    <t>CEFALEXINA 500 MG</t>
  </si>
  <si>
    <t>UNIAO QUIMICA</t>
  </si>
  <si>
    <t>CEFALEXINA SUSPENSÃO ORAL 250MG/05ML</t>
  </si>
  <si>
    <t>CIPROFLOXACINO 500 MG</t>
  </si>
  <si>
    <t>METRONIDAZOL 250 MG</t>
  </si>
  <si>
    <t>METRONIDAZOL 400 MG</t>
  </si>
  <si>
    <t>BISNAGA</t>
  </si>
  <si>
    <t>METRONIDAZOL GEL VAGINAL</t>
  </si>
  <si>
    <t>METRONIDAZOLNISTATINA 50G</t>
  </si>
  <si>
    <t>SULFADIAZINA DE PRATA 30GR</t>
  </si>
  <si>
    <t>POTE</t>
  </si>
  <si>
    <t>SULFADIAZINA DE PRATA 400GR</t>
  </si>
  <si>
    <t>NATIVITA</t>
  </si>
  <si>
    <t>SULFAMETOXAZOL TRIMETOPRIMA 400 MG 80 MG</t>
  </si>
  <si>
    <t>BELFAR</t>
  </si>
  <si>
    <t>SULFAMETOXAZOL TRIMETOPRIMA SUSP. ORAL 50ML</t>
  </si>
  <si>
    <t>AMOXICILINACLAVULONATO  50MG  /  ML  12,5 MG/ML SUSPENSÃO ORAL</t>
  </si>
  <si>
    <t>ACIDO ACETILSALICILICO 100 MG</t>
  </si>
  <si>
    <t>IMEC</t>
  </si>
  <si>
    <t>ACIDO FOLICO 05 MG</t>
  </si>
  <si>
    <t>ACIDO FOLICO 0,2 MG GOTAS</t>
  </si>
  <si>
    <t>AIRELA</t>
  </si>
  <si>
    <t>ACIDO TRANEXAMICO 250MG</t>
  </si>
  <si>
    <t>LEGRAND</t>
  </si>
  <si>
    <t>ACEBROFILINA XAROPE INFANTIL 25MG/05ML</t>
  </si>
  <si>
    <t>ACEBROFILINA XAROPE ADULTO 50MG/05ML</t>
  </si>
  <si>
    <t>ACETILCISTEINA XAROPE ADULTO 40MG/ML</t>
  </si>
  <si>
    <t>ACETILCISTEINA XAROPE INFANTIL 20MG/ML</t>
  </si>
  <si>
    <t>ALBENDAZOL 400MG</t>
  </si>
  <si>
    <t>AMBROXOL ADULTO</t>
  </si>
  <si>
    <t>AMBROXOL INFANTIL</t>
  </si>
  <si>
    <t>NATULAB</t>
  </si>
  <si>
    <t>BROMETO DE IPRATROPIO 20ML</t>
  </si>
  <si>
    <t>BROMOPRIDA GOTAS</t>
  </si>
  <si>
    <t>CARBONATO DE CALCIO 500MG</t>
  </si>
  <si>
    <t>DEXCLORFENIRAMINA 2MG</t>
  </si>
  <si>
    <t>DIPIRONA 500 MG</t>
  </si>
  <si>
    <t>DIPIRONA SOL. ORAL 10 ML</t>
  </si>
  <si>
    <t>ESPIRONOLACTONA 25MG</t>
  </si>
  <si>
    <t>ESPIRONOLACTONA 50MG</t>
  </si>
  <si>
    <t>ESPIRONOLACTONA 100MG</t>
  </si>
  <si>
    <t>FLUCONAZOL 150 MG</t>
  </si>
  <si>
    <t>HIOSCINA DIPIRONA</t>
  </si>
  <si>
    <t>IBUPROFENO 600 MG</t>
  </si>
  <si>
    <t>IBUPROFENO SUSPENSÃO ORAL 100MG/ML</t>
  </si>
  <si>
    <t>LACTULOSE XAROPE</t>
  </si>
  <si>
    <t>LIDOCAINA GELEIA 30 G.</t>
  </si>
  <si>
    <t>LORATADINA XAROPE 100 ML</t>
  </si>
  <si>
    <t>NISTATINA SUSP. ORAL 50 ML</t>
  </si>
  <si>
    <t>NITRATO DE MICONAZOL CREME VAGINAL</t>
  </si>
  <si>
    <t>BISNAGAS</t>
  </si>
  <si>
    <t>MICONAZOL CREME 30G</t>
  </si>
  <si>
    <t>OMEPRAZOL 20 MG</t>
  </si>
  <si>
    <t>PANTOPRAZOL 40MG</t>
  </si>
  <si>
    <t>BLAU FARMACEUTICA</t>
  </si>
  <si>
    <t>PARACETAMOL 500 MG</t>
  </si>
  <si>
    <t>PARACETAMOL 750 MG</t>
  </si>
  <si>
    <t>PARACETAMOL SOL. ORAL 10 ML</t>
  </si>
  <si>
    <t>PREDNISONA 05MG</t>
  </si>
  <si>
    <t>PREDNISONA 20MG</t>
  </si>
  <si>
    <t>PREDNISOLONA SUSP. ORAL 03 MG / ML 100 ML</t>
  </si>
  <si>
    <t>PROMETAZINA 25 MG</t>
  </si>
  <si>
    <t>SALBUTAMOL SPRAY 100 MCG</t>
  </si>
  <si>
    <t>PHARMASCIENCE</t>
  </si>
  <si>
    <t>SECNIDAZOL 1000MG</t>
  </si>
  <si>
    <t>SIMETICONA GOTAS</t>
  </si>
  <si>
    <t>SULFATO FERROSO 40 MG</t>
  </si>
  <si>
    <t>LAPON</t>
  </si>
  <si>
    <t>TIAMINA 300MG</t>
  </si>
  <si>
    <t>VITAMINA C 200MG/ML 20ML</t>
  </si>
  <si>
    <t>SANOFI</t>
  </si>
  <si>
    <t>VITAMINA C 500MG CPR</t>
  </si>
  <si>
    <t>ALBENDAZOL SUSP. ORAL 10 ML SOLUÇÃO ORAL. CONCENTRAÇÃO 10ML. FRASCO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</si>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</sst>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8" fontId="2" fillId="0" borderId="1" xfId="0" applyNumberFormat="1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8" fontId="2" fillId="0" borderId="1" xfId="0" applyNumberFormat="1" applyFont="1" applyBorder="1" applyAlignment="1">
      <alignment vertical="center"/>
    </xf>
    <xf numFmtId="8" fontId="2" fillId="0" borderId="3" xfId="0" applyNumberFormat="1" applyFont="1" applyBorder="1" applyAlignment="1">
      <alignment horizontal="right" vertical="center"/>
    </xf>
    <xf numFmtId="8" fontId="2" fillId="0" borderId="4" xfId="0" applyNumberFormat="1" applyFont="1" applyBorder="1" applyAlignment="1">
      <alignment horizontal="right" vertical="center"/>
    </xf>
    <xf numFmtId="8" fontId="2" fillId="0" borderId="5" xfId="0" applyNumberFormat="1" applyFont="1" applyBorder="1" applyAlignment="1">
      <alignment horizontal="right" vertical="center"/>
    </xf>
    <xf numFmtId="8" fontId="2" fillId="0" borderId="3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3"/>
  <sheetViews>
    <sheetView tabSelected="1" zoomScale="115" zoomScaleNormal="115" zoomScalePageLayoutView="85" workbookViewId="0">
      <selection activeCell="C91" sqref="C91"/>
    </sheetView>
  </sheetViews>
  <sheetFormatPr defaultRowHeight="15" x14ac:dyDescent="0.25"/>
  <cols>
    <col min="1" max="1" width="16.42578125" bestFit="1" customWidth="1"/>
    <col min="2" max="2" width="17.28515625" style="7" bestFit="1" customWidth="1"/>
    <col min="3" max="3" width="47.5703125" style="10" customWidth="1"/>
    <col min="4" max="4" width="22.140625" style="7" customWidth="1"/>
    <col min="5" max="5" width="10.5703125" style="8" bestFit="1" customWidth="1"/>
    <col min="6" max="6" width="13.42578125" style="6" bestFit="1" customWidth="1"/>
  </cols>
  <sheetData>
    <row r="1" spans="1:6" ht="15.75" x14ac:dyDescent="0.25">
      <c r="A1" s="23"/>
      <c r="B1" s="23"/>
      <c r="C1" s="23"/>
      <c r="D1" s="23"/>
      <c r="E1" s="23"/>
      <c r="F1" s="23"/>
    </row>
    <row r="2" spans="1:6" s="9" customFormat="1" ht="15.75" x14ac:dyDescent="0.25">
      <c r="A2" s="1" t="s">
        <v>118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75" x14ac:dyDescent="0.25">
      <c r="A3" s="2">
        <v>1000</v>
      </c>
      <c r="B3" s="3" t="s">
        <v>5</v>
      </c>
      <c r="C3" s="13" t="s">
        <v>14</v>
      </c>
      <c r="D3" s="3" t="s">
        <v>8</v>
      </c>
      <c r="E3" s="11">
        <v>0.03</v>
      </c>
      <c r="F3" s="5">
        <f>A3*E3</f>
        <v>30</v>
      </c>
    </row>
    <row r="4" spans="1:6" ht="15.75" x14ac:dyDescent="0.25">
      <c r="A4" s="2">
        <v>1000</v>
      </c>
      <c r="B4" s="3" t="s">
        <v>5</v>
      </c>
      <c r="C4" s="13" t="s">
        <v>15</v>
      </c>
      <c r="D4" s="3" t="s">
        <v>16</v>
      </c>
      <c r="E4" s="11">
        <v>0.06</v>
      </c>
      <c r="F4" s="5">
        <f t="shared" ref="F4:F15" si="0">A4*E4</f>
        <v>60</v>
      </c>
    </row>
    <row r="5" spans="1:6" ht="15.75" x14ac:dyDescent="0.25">
      <c r="A5" s="2">
        <v>1000</v>
      </c>
      <c r="B5" s="3" t="s">
        <v>5</v>
      </c>
      <c r="C5" s="13" t="s">
        <v>17</v>
      </c>
      <c r="D5" s="3" t="s">
        <v>13</v>
      </c>
      <c r="E5" s="11">
        <v>0.05</v>
      </c>
      <c r="F5" s="5">
        <f t="shared" si="0"/>
        <v>50</v>
      </c>
    </row>
    <row r="6" spans="1:6" ht="15.75" x14ac:dyDescent="0.25">
      <c r="A6" s="2">
        <v>1000</v>
      </c>
      <c r="B6" s="3" t="s">
        <v>5</v>
      </c>
      <c r="C6" s="13" t="s">
        <v>18</v>
      </c>
      <c r="D6" s="3" t="s">
        <v>16</v>
      </c>
      <c r="E6" s="11">
        <v>0.04</v>
      </c>
      <c r="F6" s="5">
        <f t="shared" si="0"/>
        <v>40</v>
      </c>
    </row>
    <row r="7" spans="1:6" ht="15.75" x14ac:dyDescent="0.25">
      <c r="A7" s="2">
        <v>1000</v>
      </c>
      <c r="B7" s="3" t="s">
        <v>5</v>
      </c>
      <c r="C7" s="13" t="s">
        <v>19</v>
      </c>
      <c r="D7" s="3" t="s">
        <v>16</v>
      </c>
      <c r="E7" s="11">
        <v>0.05</v>
      </c>
      <c r="F7" s="5">
        <f t="shared" si="0"/>
        <v>50</v>
      </c>
    </row>
    <row r="8" spans="1:6" ht="15.75" x14ac:dyDescent="0.25">
      <c r="A8" s="2">
        <v>1000</v>
      </c>
      <c r="B8" s="3" t="s">
        <v>5</v>
      </c>
      <c r="C8" s="13" t="s">
        <v>20</v>
      </c>
      <c r="D8" s="3" t="s">
        <v>21</v>
      </c>
      <c r="E8" s="11">
        <v>0.05</v>
      </c>
      <c r="F8" s="5">
        <f t="shared" si="0"/>
        <v>50</v>
      </c>
    </row>
    <row r="9" spans="1:6" ht="15.75" x14ac:dyDescent="0.25">
      <c r="A9" s="2">
        <v>1000</v>
      </c>
      <c r="B9" s="3" t="s">
        <v>5</v>
      </c>
      <c r="C9" s="13" t="s">
        <v>22</v>
      </c>
      <c r="D9" s="3" t="s">
        <v>23</v>
      </c>
      <c r="E9" s="11">
        <v>0.02</v>
      </c>
      <c r="F9" s="5">
        <f t="shared" si="0"/>
        <v>20</v>
      </c>
    </row>
    <row r="10" spans="1:6" ht="15.75" x14ac:dyDescent="0.25">
      <c r="A10" s="2">
        <v>1000</v>
      </c>
      <c r="B10" s="3" t="s">
        <v>5</v>
      </c>
      <c r="C10" s="13" t="s">
        <v>24</v>
      </c>
      <c r="D10" s="3" t="s">
        <v>23</v>
      </c>
      <c r="E10" s="11">
        <v>7.0000000000000007E-2</v>
      </c>
      <c r="F10" s="5">
        <f t="shared" si="0"/>
        <v>70</v>
      </c>
    </row>
    <row r="11" spans="1:6" ht="15.75" x14ac:dyDescent="0.25">
      <c r="A11" s="2">
        <v>1000</v>
      </c>
      <c r="B11" s="3" t="s">
        <v>5</v>
      </c>
      <c r="C11" s="13" t="s">
        <v>25</v>
      </c>
      <c r="D11" s="3" t="s">
        <v>21</v>
      </c>
      <c r="E11" s="11">
        <v>0.04</v>
      </c>
      <c r="F11" s="5">
        <f t="shared" si="0"/>
        <v>40</v>
      </c>
    </row>
    <row r="12" spans="1:6" ht="15.75" x14ac:dyDescent="0.25">
      <c r="A12" s="2">
        <v>1000</v>
      </c>
      <c r="B12" s="3" t="s">
        <v>5</v>
      </c>
      <c r="C12" s="13" t="s">
        <v>26</v>
      </c>
      <c r="D12" s="3" t="s">
        <v>21</v>
      </c>
      <c r="E12" s="11">
        <v>0.45</v>
      </c>
      <c r="F12" s="5">
        <f t="shared" si="0"/>
        <v>450</v>
      </c>
    </row>
    <row r="13" spans="1:6" ht="15.75" x14ac:dyDescent="0.25">
      <c r="A13" s="2">
        <v>1000</v>
      </c>
      <c r="B13" s="3" t="s">
        <v>5</v>
      </c>
      <c r="C13" s="13" t="s">
        <v>27</v>
      </c>
      <c r="D13" s="3" t="s">
        <v>13</v>
      </c>
      <c r="E13" s="11">
        <v>0.39</v>
      </c>
      <c r="F13" s="5">
        <f t="shared" si="0"/>
        <v>390</v>
      </c>
    </row>
    <row r="14" spans="1:6" ht="15.75" x14ac:dyDescent="0.25">
      <c r="A14" s="2">
        <v>1000</v>
      </c>
      <c r="B14" s="3" t="s">
        <v>5</v>
      </c>
      <c r="C14" s="13" t="s">
        <v>28</v>
      </c>
      <c r="D14" s="3" t="s">
        <v>16</v>
      </c>
      <c r="E14" s="11">
        <v>0.79</v>
      </c>
      <c r="F14" s="5">
        <f t="shared" si="0"/>
        <v>790</v>
      </c>
    </row>
    <row r="15" spans="1:6" ht="31.5" x14ac:dyDescent="0.25">
      <c r="A15" s="2">
        <v>1000</v>
      </c>
      <c r="B15" s="3" t="s">
        <v>5</v>
      </c>
      <c r="C15" s="13" t="s">
        <v>29</v>
      </c>
      <c r="D15" s="3" t="s">
        <v>30</v>
      </c>
      <c r="E15" s="11">
        <v>0.04</v>
      </c>
      <c r="F15" s="5">
        <f t="shared" si="0"/>
        <v>40</v>
      </c>
    </row>
    <row r="16" spans="1:6" ht="15.75" x14ac:dyDescent="0.25">
      <c r="A16" s="2">
        <v>1000</v>
      </c>
      <c r="B16" s="3" t="s">
        <v>5</v>
      </c>
      <c r="C16" s="13" t="s">
        <v>31</v>
      </c>
      <c r="D16" s="3" t="s">
        <v>8</v>
      </c>
      <c r="E16" s="11">
        <v>0.03</v>
      </c>
      <c r="F16" s="12">
        <f>A16*E16</f>
        <v>30</v>
      </c>
    </row>
    <row r="17" spans="1:6" ht="15" customHeight="1" x14ac:dyDescent="0.25">
      <c r="A17" s="2">
        <v>1000</v>
      </c>
      <c r="B17" s="3" t="s">
        <v>5</v>
      </c>
      <c r="C17" s="13" t="s">
        <v>32</v>
      </c>
      <c r="D17" s="3" t="s">
        <v>11</v>
      </c>
      <c r="E17" s="11">
        <v>0.13</v>
      </c>
      <c r="F17" s="14">
        <f>A17*E17</f>
        <v>130</v>
      </c>
    </row>
    <row r="18" spans="1:6" ht="15" customHeight="1" x14ac:dyDescent="0.25">
      <c r="A18" s="2">
        <v>1000</v>
      </c>
      <c r="B18" s="3" t="s">
        <v>5</v>
      </c>
      <c r="C18" s="13" t="s">
        <v>33</v>
      </c>
      <c r="D18" s="3" t="s">
        <v>8</v>
      </c>
      <c r="E18" s="11">
        <v>0.13</v>
      </c>
      <c r="F18" s="14">
        <f>A18*E18</f>
        <v>130</v>
      </c>
    </row>
    <row r="19" spans="1:6" ht="31.5" customHeight="1" x14ac:dyDescent="0.25">
      <c r="A19" s="2">
        <v>1000</v>
      </c>
      <c r="B19" s="3" t="s">
        <v>6</v>
      </c>
      <c r="C19" s="4" t="s">
        <v>61</v>
      </c>
      <c r="D19" s="19" t="s">
        <v>23</v>
      </c>
      <c r="E19" s="20">
        <v>15.99</v>
      </c>
      <c r="F19" s="15">
        <f>A19*E19</f>
        <v>15990</v>
      </c>
    </row>
    <row r="20" spans="1:6" ht="15" customHeight="1" x14ac:dyDescent="0.25">
      <c r="A20" s="2">
        <v>1000</v>
      </c>
      <c r="B20" s="3" t="s">
        <v>5</v>
      </c>
      <c r="C20" s="13" t="s">
        <v>34</v>
      </c>
      <c r="D20" s="3" t="s">
        <v>21</v>
      </c>
      <c r="E20" s="11">
        <v>1.56</v>
      </c>
      <c r="F20" s="15">
        <f t="shared" ref="F20:F27" si="1">A20*E20</f>
        <v>1560</v>
      </c>
    </row>
    <row r="21" spans="1:6" ht="15.75" x14ac:dyDescent="0.25">
      <c r="A21" s="2">
        <v>1000</v>
      </c>
      <c r="B21" s="3" t="s">
        <v>35</v>
      </c>
      <c r="C21" s="13" t="s">
        <v>36</v>
      </c>
      <c r="D21" s="3" t="s">
        <v>37</v>
      </c>
      <c r="E21" s="11">
        <v>0.22</v>
      </c>
      <c r="F21" s="15">
        <f t="shared" si="1"/>
        <v>220</v>
      </c>
    </row>
    <row r="22" spans="1:6" ht="15.75" x14ac:dyDescent="0.25">
      <c r="A22" s="2">
        <v>1000</v>
      </c>
      <c r="B22" s="3" t="s">
        <v>6</v>
      </c>
      <c r="C22" s="13" t="s">
        <v>38</v>
      </c>
      <c r="D22" s="3" t="s">
        <v>21</v>
      </c>
      <c r="E22" s="11">
        <v>7.08</v>
      </c>
      <c r="F22" s="15">
        <f t="shared" si="1"/>
        <v>7080</v>
      </c>
    </row>
    <row r="23" spans="1:6" ht="15.75" x14ac:dyDescent="0.25">
      <c r="A23" s="2">
        <v>1000</v>
      </c>
      <c r="B23" s="3" t="s">
        <v>5</v>
      </c>
      <c r="C23" s="13" t="s">
        <v>39</v>
      </c>
      <c r="D23" s="3" t="s">
        <v>40</v>
      </c>
      <c r="E23" s="11">
        <v>0.79</v>
      </c>
      <c r="F23" s="15">
        <f t="shared" si="1"/>
        <v>790</v>
      </c>
    </row>
    <row r="24" spans="1:6" ht="15.75" x14ac:dyDescent="0.25">
      <c r="A24" s="2">
        <v>1000</v>
      </c>
      <c r="B24" s="3" t="s">
        <v>6</v>
      </c>
      <c r="C24" s="13" t="s">
        <v>41</v>
      </c>
      <c r="D24" s="3" t="s">
        <v>42</v>
      </c>
      <c r="E24" s="11">
        <v>7.12</v>
      </c>
      <c r="F24" s="15">
        <f t="shared" si="1"/>
        <v>7120</v>
      </c>
    </row>
    <row r="25" spans="1:6" ht="15.75" x14ac:dyDescent="0.25">
      <c r="A25" s="2">
        <v>1000</v>
      </c>
      <c r="B25" s="3" t="s">
        <v>6</v>
      </c>
      <c r="C25" s="13" t="s">
        <v>43</v>
      </c>
      <c r="D25" s="3" t="s">
        <v>21</v>
      </c>
      <c r="E25" s="11">
        <v>6.62</v>
      </c>
      <c r="F25" s="15">
        <f>A25*E25</f>
        <v>6620</v>
      </c>
    </row>
    <row r="26" spans="1:6" ht="31.5" x14ac:dyDescent="0.25">
      <c r="A26" s="2">
        <v>1000</v>
      </c>
      <c r="B26" s="3" t="s">
        <v>6</v>
      </c>
      <c r="C26" s="13" t="s">
        <v>44</v>
      </c>
      <c r="D26" s="3" t="s">
        <v>16</v>
      </c>
      <c r="E26" s="11">
        <v>5.64</v>
      </c>
      <c r="F26" s="16">
        <f>A26*E26</f>
        <v>5640</v>
      </c>
    </row>
    <row r="27" spans="1:6" ht="31.5" customHeight="1" x14ac:dyDescent="0.25">
      <c r="A27" s="2">
        <v>1000</v>
      </c>
      <c r="B27" s="3" t="s">
        <v>5</v>
      </c>
      <c r="C27" s="13" t="s">
        <v>45</v>
      </c>
      <c r="D27" s="3" t="s">
        <v>46</v>
      </c>
      <c r="E27" s="11">
        <v>0.56999999999999995</v>
      </c>
      <c r="F27" s="17">
        <f t="shared" si="1"/>
        <v>570</v>
      </c>
    </row>
    <row r="28" spans="1:6" ht="31.5" customHeight="1" x14ac:dyDescent="0.25">
      <c r="A28" s="2">
        <v>1000</v>
      </c>
      <c r="B28" s="3" t="s">
        <v>6</v>
      </c>
      <c r="C28" s="13" t="s">
        <v>47</v>
      </c>
      <c r="D28" s="3" t="s">
        <v>7</v>
      </c>
      <c r="E28" s="11">
        <v>8.2200000000000006</v>
      </c>
      <c r="F28" s="18">
        <f>A28*E28</f>
        <v>8220</v>
      </c>
    </row>
    <row r="29" spans="1:6" ht="15.75" customHeight="1" x14ac:dyDescent="0.25">
      <c r="A29" s="2">
        <v>1000</v>
      </c>
      <c r="B29" s="3" t="s">
        <v>5</v>
      </c>
      <c r="C29" s="13" t="s">
        <v>48</v>
      </c>
      <c r="D29" s="3" t="s">
        <v>21</v>
      </c>
      <c r="E29" s="11">
        <v>0.21</v>
      </c>
      <c r="F29" s="18">
        <f>E29*A29</f>
        <v>210</v>
      </c>
    </row>
    <row r="30" spans="1:6" ht="15.75" x14ac:dyDescent="0.25">
      <c r="A30" s="2">
        <v>1000</v>
      </c>
      <c r="B30" s="3" t="s">
        <v>5</v>
      </c>
      <c r="C30" s="13" t="s">
        <v>49</v>
      </c>
      <c r="D30" s="3" t="s">
        <v>21</v>
      </c>
      <c r="E30" s="11">
        <v>0.18</v>
      </c>
      <c r="F30" s="18">
        <f>E30*A30</f>
        <v>180</v>
      </c>
    </row>
    <row r="31" spans="1:6" ht="15.75" x14ac:dyDescent="0.25">
      <c r="A31" s="2">
        <v>1000</v>
      </c>
      <c r="B31" s="3" t="s">
        <v>5</v>
      </c>
      <c r="C31" s="13" t="s">
        <v>50</v>
      </c>
      <c r="D31" s="3" t="s">
        <v>21</v>
      </c>
      <c r="E31" s="11">
        <v>0.33</v>
      </c>
      <c r="F31" s="18">
        <f>E31*A31</f>
        <v>330</v>
      </c>
    </row>
    <row r="32" spans="1:6" ht="15.75" x14ac:dyDescent="0.25">
      <c r="A32" s="2">
        <v>1000</v>
      </c>
      <c r="B32" s="3" t="s">
        <v>51</v>
      </c>
      <c r="C32" s="13" t="s">
        <v>52</v>
      </c>
      <c r="D32" s="3" t="s">
        <v>21</v>
      </c>
      <c r="E32" s="11">
        <v>5.97</v>
      </c>
      <c r="F32" s="18">
        <f t="shared" ref="F32:F37" si="2">E32*A32</f>
        <v>5970</v>
      </c>
    </row>
    <row r="33" spans="1:6" ht="15.75" x14ac:dyDescent="0.25">
      <c r="A33" s="2">
        <v>1000</v>
      </c>
      <c r="B33" s="3" t="s">
        <v>51</v>
      </c>
      <c r="C33" s="13" t="s">
        <v>53</v>
      </c>
      <c r="D33" s="3" t="s">
        <v>8</v>
      </c>
      <c r="E33" s="11">
        <v>6.31</v>
      </c>
      <c r="F33" s="18">
        <f t="shared" si="2"/>
        <v>6310</v>
      </c>
    </row>
    <row r="34" spans="1:6" ht="15.75" x14ac:dyDescent="0.25">
      <c r="A34" s="2">
        <v>1000</v>
      </c>
      <c r="B34" s="3" t="s">
        <v>51</v>
      </c>
      <c r="C34" s="13" t="s">
        <v>54</v>
      </c>
      <c r="D34" s="3" t="s">
        <v>46</v>
      </c>
      <c r="E34" s="11">
        <v>5.45</v>
      </c>
      <c r="F34" s="18">
        <f t="shared" si="2"/>
        <v>5450</v>
      </c>
    </row>
    <row r="35" spans="1:6" ht="15.75" x14ac:dyDescent="0.25">
      <c r="A35" s="2">
        <v>1000</v>
      </c>
      <c r="B35" s="3" t="s">
        <v>55</v>
      </c>
      <c r="C35" s="13" t="s">
        <v>56</v>
      </c>
      <c r="D35" s="3" t="s">
        <v>57</v>
      </c>
      <c r="E35" s="11">
        <v>35.090000000000003</v>
      </c>
      <c r="F35" s="18">
        <f t="shared" si="2"/>
        <v>35090</v>
      </c>
    </row>
    <row r="36" spans="1:6" ht="31.5" x14ac:dyDescent="0.25">
      <c r="A36" s="2">
        <v>1000</v>
      </c>
      <c r="B36" s="3" t="s">
        <v>5</v>
      </c>
      <c r="C36" s="13" t="s">
        <v>58</v>
      </c>
      <c r="D36" s="3" t="s">
        <v>59</v>
      </c>
      <c r="E36" s="11">
        <v>0.18</v>
      </c>
      <c r="F36" s="18">
        <f t="shared" si="2"/>
        <v>180</v>
      </c>
    </row>
    <row r="37" spans="1:6" ht="31.5" x14ac:dyDescent="0.25">
      <c r="A37" s="2">
        <v>1000</v>
      </c>
      <c r="B37" s="3" t="s">
        <v>6</v>
      </c>
      <c r="C37" s="13" t="s">
        <v>60</v>
      </c>
      <c r="D37" s="3" t="s">
        <v>11</v>
      </c>
      <c r="E37" s="11">
        <v>3.72</v>
      </c>
      <c r="F37" s="18">
        <f t="shared" si="2"/>
        <v>3720</v>
      </c>
    </row>
    <row r="38" spans="1:6" ht="15.75" x14ac:dyDescent="0.25">
      <c r="A38" s="2">
        <v>1000</v>
      </c>
      <c r="B38" s="3" t="s">
        <v>5</v>
      </c>
      <c r="C38" s="13" t="s">
        <v>62</v>
      </c>
      <c r="D38" s="3" t="s">
        <v>63</v>
      </c>
      <c r="E38" s="11">
        <v>0.05</v>
      </c>
      <c r="F38" s="5">
        <f>A38*E38</f>
        <v>50</v>
      </c>
    </row>
    <row r="39" spans="1:6" ht="15.75" x14ac:dyDescent="0.25">
      <c r="A39" s="2">
        <v>1000</v>
      </c>
      <c r="B39" s="3" t="s">
        <v>5</v>
      </c>
      <c r="C39" s="13" t="s">
        <v>64</v>
      </c>
      <c r="D39" s="3" t="s">
        <v>16</v>
      </c>
      <c r="E39" s="11">
        <v>0.04</v>
      </c>
      <c r="F39" s="5">
        <f t="shared" ref="F39:F57" si="3">A39*E39</f>
        <v>40</v>
      </c>
    </row>
    <row r="40" spans="1:6" ht="15.75" x14ac:dyDescent="0.25">
      <c r="A40" s="2">
        <v>1000</v>
      </c>
      <c r="B40" s="3" t="s">
        <v>6</v>
      </c>
      <c r="C40" s="13" t="s">
        <v>65</v>
      </c>
      <c r="D40" s="3" t="s">
        <v>66</v>
      </c>
      <c r="E40" s="11">
        <v>2.54</v>
      </c>
      <c r="F40" s="5">
        <f t="shared" si="3"/>
        <v>2540</v>
      </c>
    </row>
    <row r="41" spans="1:6" ht="15.75" x14ac:dyDescent="0.25">
      <c r="A41" s="2">
        <v>1000</v>
      </c>
      <c r="B41" s="3" t="s">
        <v>5</v>
      </c>
      <c r="C41" s="13" t="s">
        <v>67</v>
      </c>
      <c r="D41" s="3" t="s">
        <v>68</v>
      </c>
      <c r="E41" s="11">
        <v>1.32</v>
      </c>
      <c r="F41" s="5">
        <f t="shared" si="3"/>
        <v>1320</v>
      </c>
    </row>
    <row r="42" spans="1:6" ht="31.5" x14ac:dyDescent="0.25">
      <c r="A42" s="2">
        <v>1000</v>
      </c>
      <c r="B42" s="3" t="s">
        <v>6</v>
      </c>
      <c r="C42" s="13" t="s">
        <v>69</v>
      </c>
      <c r="D42" s="3" t="s">
        <v>9</v>
      </c>
      <c r="E42" s="11">
        <v>6.1</v>
      </c>
      <c r="F42" s="5">
        <f t="shared" si="3"/>
        <v>6100</v>
      </c>
    </row>
    <row r="43" spans="1:6" ht="31.5" x14ac:dyDescent="0.25">
      <c r="A43" s="2">
        <v>1000</v>
      </c>
      <c r="B43" s="3" t="s">
        <v>6</v>
      </c>
      <c r="C43" s="13" t="s">
        <v>70</v>
      </c>
      <c r="D43" s="3" t="s">
        <v>9</v>
      </c>
      <c r="E43" s="11">
        <v>8.5399999999999991</v>
      </c>
      <c r="F43" s="5">
        <f t="shared" si="3"/>
        <v>8540</v>
      </c>
    </row>
    <row r="44" spans="1:6" ht="31.5" x14ac:dyDescent="0.25">
      <c r="A44" s="2">
        <v>1000</v>
      </c>
      <c r="B44" s="3" t="s">
        <v>6</v>
      </c>
      <c r="C44" s="13" t="s">
        <v>71</v>
      </c>
      <c r="D44" s="3" t="s">
        <v>66</v>
      </c>
      <c r="E44" s="11">
        <v>4.53</v>
      </c>
      <c r="F44" s="5">
        <f t="shared" si="3"/>
        <v>4530</v>
      </c>
    </row>
    <row r="45" spans="1:6" ht="31.5" x14ac:dyDescent="0.25">
      <c r="A45" s="2">
        <v>1000</v>
      </c>
      <c r="B45" s="3" t="s">
        <v>6</v>
      </c>
      <c r="C45" s="13" t="s">
        <v>72</v>
      </c>
      <c r="D45" s="3" t="s">
        <v>66</v>
      </c>
      <c r="E45" s="11">
        <v>4.34</v>
      </c>
      <c r="F45" s="5">
        <f t="shared" si="3"/>
        <v>4340</v>
      </c>
    </row>
    <row r="46" spans="1:6" ht="15.75" x14ac:dyDescent="0.25">
      <c r="A46" s="2">
        <v>1000</v>
      </c>
      <c r="B46" s="3" t="s">
        <v>5</v>
      </c>
      <c r="C46" s="13" t="s">
        <v>73</v>
      </c>
      <c r="D46" s="3" t="s">
        <v>21</v>
      </c>
      <c r="E46" s="11">
        <v>0.43</v>
      </c>
      <c r="F46" s="5">
        <f t="shared" si="3"/>
        <v>430</v>
      </c>
    </row>
    <row r="47" spans="1:6" ht="47.25" x14ac:dyDescent="0.25">
      <c r="A47" s="2">
        <v>1000</v>
      </c>
      <c r="B47" s="19" t="s">
        <v>6</v>
      </c>
      <c r="C47" s="13" t="s">
        <v>117</v>
      </c>
      <c r="D47" s="19" t="s">
        <v>8</v>
      </c>
      <c r="E47" s="20">
        <v>1.19</v>
      </c>
      <c r="F47" s="5">
        <f t="shared" si="3"/>
        <v>1190</v>
      </c>
    </row>
    <row r="48" spans="1:6" ht="15.75" x14ac:dyDescent="0.25">
      <c r="A48" s="2">
        <v>1000</v>
      </c>
      <c r="B48" s="3" t="s">
        <v>6</v>
      </c>
      <c r="C48" s="13" t="s">
        <v>74</v>
      </c>
      <c r="D48" s="3" t="s">
        <v>66</v>
      </c>
      <c r="E48" s="11">
        <v>2.4</v>
      </c>
      <c r="F48" s="5">
        <f t="shared" si="3"/>
        <v>2400</v>
      </c>
    </row>
    <row r="49" spans="1:6" ht="15.75" x14ac:dyDescent="0.25">
      <c r="A49" s="2">
        <v>1000</v>
      </c>
      <c r="B49" s="3" t="s">
        <v>6</v>
      </c>
      <c r="C49" s="13" t="s">
        <v>75</v>
      </c>
      <c r="D49" s="3" t="s">
        <v>76</v>
      </c>
      <c r="E49" s="11">
        <v>2.91</v>
      </c>
      <c r="F49" s="5">
        <f t="shared" si="3"/>
        <v>2910</v>
      </c>
    </row>
    <row r="50" spans="1:6" ht="15.75" x14ac:dyDescent="0.25">
      <c r="A50" s="2">
        <v>1000</v>
      </c>
      <c r="B50" s="3" t="s">
        <v>6</v>
      </c>
      <c r="C50" s="13" t="s">
        <v>77</v>
      </c>
      <c r="D50" s="3" t="s">
        <v>13</v>
      </c>
      <c r="E50" s="11">
        <v>1.2</v>
      </c>
      <c r="F50" s="5">
        <f t="shared" si="3"/>
        <v>1200</v>
      </c>
    </row>
    <row r="51" spans="1:6" ht="15.75" x14ac:dyDescent="0.25">
      <c r="A51" s="2">
        <v>1000</v>
      </c>
      <c r="B51" s="3" t="s">
        <v>6</v>
      </c>
      <c r="C51" s="13" t="s">
        <v>78</v>
      </c>
      <c r="D51" s="3" t="s">
        <v>66</v>
      </c>
      <c r="E51" s="11">
        <v>2.23</v>
      </c>
      <c r="F51" s="5">
        <f t="shared" si="3"/>
        <v>2230</v>
      </c>
    </row>
    <row r="52" spans="1:6" ht="15.75" x14ac:dyDescent="0.25">
      <c r="A52" s="2">
        <v>1000</v>
      </c>
      <c r="B52" s="3" t="s">
        <v>5</v>
      </c>
      <c r="C52" s="13" t="s">
        <v>79</v>
      </c>
      <c r="D52" s="3" t="s">
        <v>16</v>
      </c>
      <c r="E52" s="11">
        <v>0.06</v>
      </c>
      <c r="F52" s="5">
        <f t="shared" si="3"/>
        <v>60</v>
      </c>
    </row>
    <row r="53" spans="1:6" ht="15.75" x14ac:dyDescent="0.25">
      <c r="A53" s="2">
        <v>1000</v>
      </c>
      <c r="B53" s="3" t="s">
        <v>5</v>
      </c>
      <c r="C53" s="13" t="s">
        <v>80</v>
      </c>
      <c r="D53" s="3" t="s">
        <v>8</v>
      </c>
      <c r="E53" s="11">
        <v>0.05</v>
      </c>
      <c r="F53" s="5">
        <f t="shared" si="3"/>
        <v>50</v>
      </c>
    </row>
    <row r="54" spans="1:6" ht="15.75" x14ac:dyDescent="0.25">
      <c r="A54" s="2">
        <v>1000</v>
      </c>
      <c r="B54" s="3" t="s">
        <v>5</v>
      </c>
      <c r="C54" s="13" t="s">
        <v>81</v>
      </c>
      <c r="D54" s="3" t="s">
        <v>21</v>
      </c>
      <c r="E54" s="11">
        <v>0.12</v>
      </c>
      <c r="F54" s="5">
        <f t="shared" si="3"/>
        <v>120</v>
      </c>
    </row>
    <row r="55" spans="1:6" ht="15.75" x14ac:dyDescent="0.25">
      <c r="A55" s="2">
        <v>1000</v>
      </c>
      <c r="B55" s="3" t="s">
        <v>6</v>
      </c>
      <c r="C55" s="13" t="s">
        <v>82</v>
      </c>
      <c r="D55" s="3" t="s">
        <v>66</v>
      </c>
      <c r="E55" s="11">
        <v>1.3</v>
      </c>
      <c r="F55" s="5">
        <f t="shared" si="3"/>
        <v>1300</v>
      </c>
    </row>
    <row r="56" spans="1:6" ht="15.75" x14ac:dyDescent="0.25">
      <c r="A56" s="2">
        <v>1000</v>
      </c>
      <c r="B56" s="3" t="s">
        <v>5</v>
      </c>
      <c r="C56" s="13" t="s">
        <v>83</v>
      </c>
      <c r="D56" s="3" t="s">
        <v>16</v>
      </c>
      <c r="E56" s="11">
        <v>0.19</v>
      </c>
      <c r="F56" s="5">
        <f t="shared" si="3"/>
        <v>190</v>
      </c>
    </row>
    <row r="57" spans="1:6" ht="15.75" x14ac:dyDescent="0.25">
      <c r="A57" s="2">
        <v>1000</v>
      </c>
      <c r="B57" s="3" t="s">
        <v>5</v>
      </c>
      <c r="C57" s="13" t="s">
        <v>84</v>
      </c>
      <c r="D57" s="3" t="s">
        <v>16</v>
      </c>
      <c r="E57" s="11">
        <v>0.37</v>
      </c>
      <c r="F57" s="5">
        <f t="shared" si="3"/>
        <v>370</v>
      </c>
    </row>
    <row r="58" spans="1:6" ht="15.75" x14ac:dyDescent="0.25">
      <c r="A58" s="2">
        <v>1000</v>
      </c>
      <c r="B58" s="3" t="s">
        <v>5</v>
      </c>
      <c r="C58" s="13" t="s">
        <v>85</v>
      </c>
      <c r="D58" s="3" t="s">
        <v>13</v>
      </c>
      <c r="E58" s="11">
        <v>0.61</v>
      </c>
      <c r="F58" s="5">
        <f>A58*E58</f>
        <v>610</v>
      </c>
    </row>
    <row r="59" spans="1:6" ht="15.75" x14ac:dyDescent="0.25">
      <c r="A59" s="2">
        <v>1000</v>
      </c>
      <c r="B59" s="3" t="s">
        <v>35</v>
      </c>
      <c r="C59" s="13" t="s">
        <v>86</v>
      </c>
      <c r="D59" s="3" t="s">
        <v>59</v>
      </c>
      <c r="E59" s="11">
        <v>0.5</v>
      </c>
      <c r="F59" s="5">
        <f t="shared" ref="F59:F84" si="4">A59*E59</f>
        <v>500</v>
      </c>
    </row>
    <row r="60" spans="1:6" ht="15.75" x14ac:dyDescent="0.25">
      <c r="A60" s="2">
        <v>1000</v>
      </c>
      <c r="B60" s="3" t="s">
        <v>5</v>
      </c>
      <c r="C60" s="13" t="s">
        <v>87</v>
      </c>
      <c r="D60" s="3" t="s">
        <v>7</v>
      </c>
      <c r="E60" s="11">
        <v>0.28999999999999998</v>
      </c>
      <c r="F60" s="5">
        <f t="shared" si="4"/>
        <v>290</v>
      </c>
    </row>
    <row r="61" spans="1:6" ht="15.75" x14ac:dyDescent="0.25">
      <c r="A61" s="2">
        <v>1000</v>
      </c>
      <c r="B61" s="3" t="s">
        <v>5</v>
      </c>
      <c r="C61" s="13" t="s">
        <v>88</v>
      </c>
      <c r="D61" s="3" t="s">
        <v>12</v>
      </c>
      <c r="E61" s="11">
        <v>0.14000000000000001</v>
      </c>
      <c r="F61" s="5">
        <f t="shared" si="4"/>
        <v>140</v>
      </c>
    </row>
    <row r="62" spans="1:6" ht="15.75" x14ac:dyDescent="0.25">
      <c r="A62" s="2">
        <v>1000</v>
      </c>
      <c r="B62" s="3" t="s">
        <v>6</v>
      </c>
      <c r="C62" s="13" t="s">
        <v>89</v>
      </c>
      <c r="D62" s="3" t="s">
        <v>76</v>
      </c>
      <c r="E62" s="11">
        <v>2.2599999999999998</v>
      </c>
      <c r="F62" s="5">
        <f t="shared" si="4"/>
        <v>2260</v>
      </c>
    </row>
    <row r="63" spans="1:6" ht="15.75" x14ac:dyDescent="0.25">
      <c r="A63" s="2">
        <v>1000</v>
      </c>
      <c r="B63" s="3" t="s">
        <v>6</v>
      </c>
      <c r="C63" s="13" t="s">
        <v>90</v>
      </c>
      <c r="D63" s="3" t="s">
        <v>7</v>
      </c>
      <c r="E63" s="11">
        <v>5.18</v>
      </c>
      <c r="F63" s="5">
        <f t="shared" si="4"/>
        <v>5180</v>
      </c>
    </row>
    <row r="64" spans="1:6" ht="15.75" x14ac:dyDescent="0.25">
      <c r="A64" s="2">
        <v>1000</v>
      </c>
      <c r="B64" s="3" t="s">
        <v>51</v>
      </c>
      <c r="C64" s="13" t="s">
        <v>91</v>
      </c>
      <c r="D64" s="3" t="s">
        <v>13</v>
      </c>
      <c r="E64" s="11">
        <v>4.82</v>
      </c>
      <c r="F64" s="5">
        <f t="shared" si="4"/>
        <v>4820</v>
      </c>
    </row>
    <row r="65" spans="1:6" ht="15.75" x14ac:dyDescent="0.25">
      <c r="A65" s="2">
        <v>1000</v>
      </c>
      <c r="B65" s="3" t="s">
        <v>6</v>
      </c>
      <c r="C65" s="13" t="s">
        <v>92</v>
      </c>
      <c r="D65" s="3" t="s">
        <v>23</v>
      </c>
      <c r="E65" s="11">
        <v>3.11</v>
      </c>
      <c r="F65" s="5">
        <f t="shared" si="4"/>
        <v>3110</v>
      </c>
    </row>
    <row r="66" spans="1:6" ht="15.75" x14ac:dyDescent="0.25">
      <c r="A66" s="2">
        <v>1000</v>
      </c>
      <c r="B66" s="3" t="s">
        <v>6</v>
      </c>
      <c r="C66" s="13" t="s">
        <v>93</v>
      </c>
      <c r="D66" s="3" t="s">
        <v>21</v>
      </c>
      <c r="E66" s="11">
        <v>4.33</v>
      </c>
      <c r="F66" s="5">
        <f t="shared" si="4"/>
        <v>4330</v>
      </c>
    </row>
    <row r="67" spans="1:6" ht="15.75" customHeight="1" x14ac:dyDescent="0.25">
      <c r="A67" s="2">
        <v>1000</v>
      </c>
      <c r="B67" s="3" t="s">
        <v>51</v>
      </c>
      <c r="C67" s="13" t="s">
        <v>94</v>
      </c>
      <c r="D67" s="3" t="s">
        <v>21</v>
      </c>
      <c r="E67" s="11">
        <v>7.99</v>
      </c>
      <c r="F67" s="5">
        <f t="shared" si="4"/>
        <v>7990</v>
      </c>
    </row>
    <row r="68" spans="1:6" ht="15.75" x14ac:dyDescent="0.25">
      <c r="A68" s="2">
        <v>1000</v>
      </c>
      <c r="B68" s="3" t="s">
        <v>95</v>
      </c>
      <c r="C68" s="13" t="s">
        <v>96</v>
      </c>
      <c r="D68" s="3" t="s">
        <v>13</v>
      </c>
      <c r="E68" s="11">
        <v>3.03</v>
      </c>
      <c r="F68" s="5">
        <f t="shared" si="4"/>
        <v>3030</v>
      </c>
    </row>
    <row r="69" spans="1:6" ht="15.75" x14ac:dyDescent="0.25">
      <c r="A69" s="2">
        <v>1000</v>
      </c>
      <c r="B69" s="3" t="s">
        <v>35</v>
      </c>
      <c r="C69" s="13" t="s">
        <v>97</v>
      </c>
      <c r="D69" s="3" t="s">
        <v>13</v>
      </c>
      <c r="E69" s="11">
        <v>0.06</v>
      </c>
      <c r="F69" s="5">
        <f t="shared" si="4"/>
        <v>60</v>
      </c>
    </row>
    <row r="70" spans="1:6" ht="31.5" x14ac:dyDescent="0.25">
      <c r="A70" s="2">
        <v>1000</v>
      </c>
      <c r="B70" s="3" t="s">
        <v>5</v>
      </c>
      <c r="C70" s="13" t="s">
        <v>98</v>
      </c>
      <c r="D70" s="3" t="s">
        <v>99</v>
      </c>
      <c r="E70" s="11">
        <v>0.21</v>
      </c>
      <c r="F70" s="5">
        <f t="shared" si="4"/>
        <v>210</v>
      </c>
    </row>
    <row r="71" spans="1:6" ht="15.75" x14ac:dyDescent="0.25">
      <c r="A71" s="2">
        <v>1000</v>
      </c>
      <c r="B71" s="3" t="s">
        <v>5</v>
      </c>
      <c r="C71" s="13" t="s">
        <v>100</v>
      </c>
      <c r="D71" s="3" t="s">
        <v>66</v>
      </c>
      <c r="E71" s="11">
        <v>7.0000000000000007E-2</v>
      </c>
      <c r="F71" s="5">
        <f t="shared" si="4"/>
        <v>70</v>
      </c>
    </row>
    <row r="72" spans="1:6" ht="15.75" x14ac:dyDescent="0.25">
      <c r="A72" s="2">
        <v>1000</v>
      </c>
      <c r="B72" s="3" t="s">
        <v>5</v>
      </c>
      <c r="C72" s="13" t="s">
        <v>101</v>
      </c>
      <c r="D72" s="3" t="s">
        <v>59</v>
      </c>
      <c r="E72" s="11">
        <v>0.14000000000000001</v>
      </c>
      <c r="F72" s="5">
        <f t="shared" si="4"/>
        <v>140</v>
      </c>
    </row>
    <row r="73" spans="1:6" ht="15.75" x14ac:dyDescent="0.25">
      <c r="A73" s="2">
        <v>1000</v>
      </c>
      <c r="B73" s="3" t="s">
        <v>6</v>
      </c>
      <c r="C73" s="13" t="s">
        <v>102</v>
      </c>
      <c r="D73" s="3" t="s">
        <v>12</v>
      </c>
      <c r="E73" s="11">
        <v>1.3</v>
      </c>
      <c r="F73" s="5">
        <f>A73*E73</f>
        <v>1300</v>
      </c>
    </row>
    <row r="74" spans="1:6" ht="15.75" x14ac:dyDescent="0.25">
      <c r="A74" s="2">
        <v>1000</v>
      </c>
      <c r="B74" s="3" t="s">
        <v>5</v>
      </c>
      <c r="C74" s="13" t="s">
        <v>103</v>
      </c>
      <c r="D74" s="3" t="s">
        <v>10</v>
      </c>
      <c r="E74" s="11">
        <v>7.0000000000000007E-2</v>
      </c>
      <c r="F74" s="5">
        <f t="shared" si="4"/>
        <v>70</v>
      </c>
    </row>
    <row r="75" spans="1:6" ht="15.75" x14ac:dyDescent="0.25">
      <c r="A75" s="2">
        <v>1000</v>
      </c>
      <c r="B75" s="3" t="s">
        <v>5</v>
      </c>
      <c r="C75" s="13" t="s">
        <v>104</v>
      </c>
      <c r="D75" s="3" t="s">
        <v>13</v>
      </c>
      <c r="E75" s="11">
        <v>0.16</v>
      </c>
      <c r="F75" s="5">
        <f t="shared" si="4"/>
        <v>160</v>
      </c>
    </row>
    <row r="76" spans="1:6" ht="31.5" x14ac:dyDescent="0.25">
      <c r="A76" s="2">
        <v>1000</v>
      </c>
      <c r="B76" s="3" t="s">
        <v>6</v>
      </c>
      <c r="C76" s="13" t="s">
        <v>105</v>
      </c>
      <c r="D76" s="3" t="s">
        <v>13</v>
      </c>
      <c r="E76" s="11">
        <v>5.82</v>
      </c>
      <c r="F76" s="5">
        <f t="shared" si="4"/>
        <v>5820</v>
      </c>
    </row>
    <row r="77" spans="1:6" ht="15.75" x14ac:dyDescent="0.25">
      <c r="A77" s="2">
        <v>1000</v>
      </c>
      <c r="B77" s="3" t="s">
        <v>5</v>
      </c>
      <c r="C77" s="13" t="s">
        <v>106</v>
      </c>
      <c r="D77" s="3" t="s">
        <v>13</v>
      </c>
      <c r="E77" s="11">
        <v>0.15</v>
      </c>
      <c r="F77" s="5">
        <f t="shared" si="4"/>
        <v>150</v>
      </c>
    </row>
    <row r="78" spans="1:6" ht="15.75" x14ac:dyDescent="0.25">
      <c r="A78" s="2">
        <v>1000</v>
      </c>
      <c r="B78" s="3" t="s">
        <v>6</v>
      </c>
      <c r="C78" s="13" t="s">
        <v>107</v>
      </c>
      <c r="D78" s="3" t="s">
        <v>108</v>
      </c>
      <c r="E78" s="11">
        <v>14.54</v>
      </c>
      <c r="F78" s="5">
        <f t="shared" si="4"/>
        <v>14540</v>
      </c>
    </row>
    <row r="79" spans="1:6" ht="15.75" x14ac:dyDescent="0.25">
      <c r="A79" s="2">
        <v>1000</v>
      </c>
      <c r="B79" s="3" t="s">
        <v>5</v>
      </c>
      <c r="C79" s="13" t="s">
        <v>109</v>
      </c>
      <c r="D79" s="3" t="s">
        <v>42</v>
      </c>
      <c r="E79" s="11">
        <v>0.85</v>
      </c>
      <c r="F79" s="5">
        <f t="shared" si="4"/>
        <v>850</v>
      </c>
    </row>
    <row r="80" spans="1:6" ht="15.75" x14ac:dyDescent="0.25">
      <c r="A80" s="2">
        <v>1000</v>
      </c>
      <c r="B80" s="3" t="s">
        <v>6</v>
      </c>
      <c r="C80" s="13" t="s">
        <v>110</v>
      </c>
      <c r="D80" s="3" t="s">
        <v>76</v>
      </c>
      <c r="E80" s="11">
        <v>3.18</v>
      </c>
      <c r="F80" s="5">
        <f t="shared" si="4"/>
        <v>3180</v>
      </c>
    </row>
    <row r="81" spans="1:6" ht="15.75" x14ac:dyDescent="0.25">
      <c r="A81" s="2">
        <v>1000</v>
      </c>
      <c r="B81" s="3" t="s">
        <v>5</v>
      </c>
      <c r="C81" s="13" t="s">
        <v>111</v>
      </c>
      <c r="D81" s="3" t="s">
        <v>112</v>
      </c>
      <c r="E81" s="11">
        <v>0.04</v>
      </c>
      <c r="F81" s="5">
        <f t="shared" si="4"/>
        <v>40</v>
      </c>
    </row>
    <row r="82" spans="1:6" ht="15.75" x14ac:dyDescent="0.25">
      <c r="A82" s="2">
        <v>1000</v>
      </c>
      <c r="B82" s="3" t="s">
        <v>5</v>
      </c>
      <c r="C82" s="13" t="s">
        <v>113</v>
      </c>
      <c r="D82" s="3" t="s">
        <v>13</v>
      </c>
      <c r="E82" s="11">
        <v>0.23</v>
      </c>
      <c r="F82" s="5">
        <f>A82*E82</f>
        <v>230</v>
      </c>
    </row>
    <row r="83" spans="1:6" ht="15.75" x14ac:dyDescent="0.25">
      <c r="A83" s="2">
        <v>1000</v>
      </c>
      <c r="B83" s="3" t="s">
        <v>6</v>
      </c>
      <c r="C83" s="13" t="s">
        <v>114</v>
      </c>
      <c r="D83" s="3" t="s">
        <v>115</v>
      </c>
      <c r="E83" s="11">
        <v>1.1299999999999999</v>
      </c>
      <c r="F83" s="5">
        <f t="shared" si="4"/>
        <v>1130</v>
      </c>
    </row>
    <row r="84" spans="1:6" ht="15.75" x14ac:dyDescent="0.25">
      <c r="A84" s="2">
        <v>1000</v>
      </c>
      <c r="B84" s="3" t="s">
        <v>5</v>
      </c>
      <c r="C84" s="13" t="s">
        <v>116</v>
      </c>
      <c r="D84" s="3" t="s">
        <v>66</v>
      </c>
      <c r="E84" s="11">
        <v>0.13</v>
      </c>
      <c r="F84" s="5">
        <f t="shared" si="4"/>
        <v>130</v>
      </c>
    </row>
    <row r="85" spans="1:6" ht="15.75" x14ac:dyDescent="0.25">
      <c r="A85" s="22"/>
      <c r="B85"/>
      <c r="C85" s="21"/>
      <c r="D85"/>
      <c r="E85"/>
      <c r="F85"/>
    </row>
    <row r="86" spans="1:6" ht="15.75" x14ac:dyDescent="0.25">
      <c r="A86" s="22"/>
      <c r="B86"/>
      <c r="C86" s="21"/>
      <c r="D86"/>
      <c r="E86"/>
      <c r="F86"/>
    </row>
    <row r="87" spans="1:6" ht="15.75" x14ac:dyDescent="0.25">
      <c r="A87" s="22"/>
    </row>
    <row r="88" spans="1:6" ht="15.75" x14ac:dyDescent="0.25">
      <c r="A88" s="22"/>
    </row>
    <row r="89" spans="1:6" ht="15.75" x14ac:dyDescent="0.25">
      <c r="A89" s="22"/>
    </row>
    <row r="90" spans="1:6" ht="15.75" x14ac:dyDescent="0.25">
      <c r="A90" s="22"/>
    </row>
    <row r="91" spans="1:6" ht="15.75" x14ac:dyDescent="0.25">
      <c r="A91" s="22"/>
    </row>
    <row r="92" spans="1:6" ht="15.75" x14ac:dyDescent="0.25">
      <c r="A92" s="22"/>
    </row>
    <row r="93" spans="1:6" ht="15.75" x14ac:dyDescent="0.25">
      <c r="A93" s="22"/>
    </row>
  </sheetData>
  <mergeCells count="1">
    <mergeCell ref="A1:F1"/>
  </mergeCells>
  <pageMargins left="0.23622047244094491" right="0.23622047244094491" top="0.39370078740157483" bottom="0.39370078740157483" header="0.31496062992125984" footer="0.31496062992125984"/>
  <pageSetup paperSize="9" scale="82" fitToHeight="0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2025-12-19T17:30:14Z</dcterms:modified>
</cp:coreProperties>
</file>