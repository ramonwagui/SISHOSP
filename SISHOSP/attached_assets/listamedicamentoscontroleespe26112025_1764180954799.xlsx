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8_{3E6808AE-AFA1-4777-A6C5-472DD41584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1" l="1"/>
  <c r="G14" i="1"/>
  <c r="G15" i="1"/>
  <c r="G16" i="1"/>
  <c r="G17" i="1"/>
  <c r="G60" i="1" l="1"/>
  <c r="G66" i="1" l="1"/>
  <c r="G65" i="1"/>
  <c r="G64" i="1"/>
  <c r="G63" i="1"/>
  <c r="G62" i="1"/>
  <c r="G61" i="1"/>
  <c r="G50" i="1"/>
  <c r="G49" i="1"/>
  <c r="G55" i="1"/>
  <c r="G54" i="1"/>
  <c r="G53" i="1"/>
  <c r="G52" i="1"/>
  <c r="G51" i="1"/>
  <c r="G42" i="1"/>
  <c r="G43" i="1"/>
  <c r="G44" i="1"/>
  <c r="G45" i="1"/>
  <c r="G46" i="1"/>
  <c r="G47" i="1"/>
  <c r="G48" i="1"/>
  <c r="G41" i="1"/>
  <c r="G28" i="1"/>
  <c r="G29" i="1"/>
  <c r="G30" i="1"/>
  <c r="G31" i="1"/>
  <c r="G32" i="1"/>
  <c r="G33" i="1"/>
  <c r="G34" i="1"/>
  <c r="G35" i="1"/>
  <c r="G36" i="1"/>
  <c r="G27" i="1"/>
  <c r="G25" i="1"/>
  <c r="G5" i="1"/>
  <c r="G6" i="1"/>
  <c r="G7" i="1"/>
  <c r="G8" i="1"/>
  <c r="G9" i="1"/>
  <c r="G10" i="1"/>
  <c r="G11" i="1"/>
  <c r="G12" i="1"/>
  <c r="G13" i="1"/>
  <c r="G18" i="1"/>
  <c r="G19" i="1"/>
  <c r="G4" i="1"/>
  <c r="G67" i="1" l="1"/>
  <c r="G56" i="1"/>
  <c r="G20" i="1"/>
  <c r="G37" i="1"/>
</calcChain>
</file>

<file path=xl/sharedStrings.xml><?xml version="1.0" encoding="utf-8"?>
<sst xmlns="http://schemas.openxmlformats.org/spreadsheetml/2006/main" count="190" uniqueCount="81">
  <si>
    <t>ITEM</t>
  </si>
  <si>
    <t>QUANT.</t>
  </si>
  <si>
    <t>UNID.</t>
  </si>
  <si>
    <t>DESCRIÇÃO</t>
  </si>
  <si>
    <t>MARCA</t>
  </si>
  <si>
    <t>V. UNIT.</t>
  </si>
  <si>
    <t>V. TOTAL</t>
  </si>
  <si>
    <t>QUANT</t>
  </si>
  <si>
    <t>COMPRIMIDOS</t>
  </si>
  <si>
    <t>FRASCOS</t>
  </si>
  <si>
    <t>TEUTO</t>
  </si>
  <si>
    <t>GEOLAB</t>
  </si>
  <si>
    <t>EUROFARMA</t>
  </si>
  <si>
    <t>GLOBO</t>
  </si>
  <si>
    <t>AMPOLAS</t>
  </si>
  <si>
    <t>CRISTALIA</t>
  </si>
  <si>
    <t>HIPOLABOR</t>
  </si>
  <si>
    <t>SANTISA</t>
  </si>
  <si>
    <t>VALOR TOTAL</t>
  </si>
  <si>
    <t>ACIDO VALPROICO 250 MG</t>
  </si>
  <si>
    <t>ACIDO VALPROICO 500 MG</t>
  </si>
  <si>
    <t>VALPROATO DE SÓDIO 100 ML</t>
  </si>
  <si>
    <t>CARBAMAZEPINA 200 MG</t>
  </si>
  <si>
    <t>CARBAMAZEPINA 400 MG</t>
  </si>
  <si>
    <t>CARBAMAZEPINA LIQUIDO</t>
  </si>
  <si>
    <t>CARBONATO DE LÍTIO 300 MG</t>
  </si>
  <si>
    <t>CARBONATO DE LÍTIO 450 MG</t>
  </si>
  <si>
    <t>GABAPENTINA 300MG</t>
  </si>
  <si>
    <t>PREGABALINA 150MG</t>
  </si>
  <si>
    <t>PREGABALINA 75MG</t>
  </si>
  <si>
    <t>FENITOINA 100 MG</t>
  </si>
  <si>
    <t>FENITOINA INJETÁVEL</t>
  </si>
  <si>
    <t>FENOBARBITAL 100 MG</t>
  </si>
  <si>
    <t>FENOBARBITAL INJETÁVEL</t>
  </si>
  <si>
    <t>FENOBARBITAL SOL. ORAL 20 ML</t>
  </si>
  <si>
    <t>BIOLAB</t>
  </si>
  <si>
    <t>E M S</t>
  </si>
  <si>
    <t>MED QUIMICA</t>
  </si>
  <si>
    <t>UNIÃO QUIMICA</t>
  </si>
  <si>
    <t>LOTE II – ESTABILIZADORES DE HUMOR/ANTIEPILÉPTICOS</t>
  </si>
  <si>
    <t>LOTE III – BENZODIAZEPINICOS (ANSIOLITICOS/SEDATIVOS)</t>
  </si>
  <si>
    <t>ALPRAZOLAM 0,5 MG</t>
  </si>
  <si>
    <t>ALPRAZOLAM 1,0 MG</t>
  </si>
  <si>
    <t>ALPRAZOLAM 2,0 MG</t>
  </si>
  <si>
    <t>BROMAZEPAM 03 MG</t>
  </si>
  <si>
    <t>BROMAZEPAM 06 MG</t>
  </si>
  <si>
    <t>CLONAZEPAM 0,5 MG</t>
  </si>
  <si>
    <t>CLONAZEPAM 2,0 MG</t>
  </si>
  <si>
    <t>CLONAZEPAM SOL. ORAL 20 ML</t>
  </si>
  <si>
    <t>DIAZEPAM 05 MG</t>
  </si>
  <si>
    <t>DIAZEPAM 10 MG</t>
  </si>
  <si>
    <t>MIDAZOLAM 05 MG / ML 03 ML</t>
  </si>
  <si>
    <t>MIDAZOLAM 15 MG / ML 03 ML</t>
  </si>
  <si>
    <t>LOTE IV – ANTIPSICÓTICOS TÍPIOS (CONVENCIONAIS)</t>
  </si>
  <si>
    <t>CLORPROMAZINA 100 MG</t>
  </si>
  <si>
    <t>CLORPROMAZINA 25 MG</t>
  </si>
  <si>
    <t>CLORPROMAZINA INJETÁVEL</t>
  </si>
  <si>
    <t>CLORPROMAZINA SOL. ORAL 4</t>
  </si>
  <si>
    <t>HALOPERIDOL 01 MG</t>
  </si>
  <si>
    <t>HALOPERIDOL 05 MG</t>
  </si>
  <si>
    <t>HALOPERIDOL DECANOATO 50MG 1ML</t>
  </si>
  <si>
    <t>HALOPERIDOL DECANOATO 70,52 MG 1ML</t>
  </si>
  <si>
    <t>HALOPERIDOL SOL. ORAL 20 ML</t>
  </si>
  <si>
    <t>LEVOMEPROMAZINA 100 MG</t>
  </si>
  <si>
    <t>LEVOMEPROMAZINA 25 MG</t>
  </si>
  <si>
    <t>LEVOMEPROMAZINA GOTAS</t>
  </si>
  <si>
    <t>PERICIAZINA 1</t>
  </si>
  <si>
    <t>SANOBIOL</t>
  </si>
  <si>
    <t>PERICIAZINA 4</t>
  </si>
  <si>
    <t>LOTE V – ANALGÉSICOS OPIOIDES</t>
  </si>
  <si>
    <t>MORFINA 10MG/ML 1ML</t>
  </si>
  <si>
    <t>MORFINA INJETÁVEL 0,2 MG/ML 1ML</t>
  </si>
  <si>
    <t>PETIDINA INJETÁVEL 01 ML</t>
  </si>
  <si>
    <t>TRAMADOL 50MG</t>
  </si>
  <si>
    <t>TRAMADOL INJETÁVEL</t>
  </si>
  <si>
    <t>CITRATO DE FENTANILA 50 MCG / ML 10 ML</t>
  </si>
  <si>
    <t>CITRATO DE FENTANILA 78 MCG / ML 05 ML</t>
  </si>
  <si>
    <t>TOTAL</t>
  </si>
  <si>
    <t>DIAZEPAM INJETÁVEL C/100 AMP.</t>
  </si>
  <si>
    <t>HALOPERIDOL SIMPLES INJETÁVEL C/50</t>
  </si>
  <si>
    <r>
      <t xml:space="preserve">               </t>
    </r>
    <r>
      <rPr>
        <b/>
        <sz val="11"/>
        <color theme="1"/>
        <rFont val="Calibri"/>
        <family val="2"/>
        <scheme val="minor"/>
      </rPr>
      <t xml:space="preserve"> EXU, 26 DE NOVEMBRO DE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</si>
</sst>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right" vertical="center"/>
    </xf>
    <xf numFmtId="8" fontId="1" fillId="0" borderId="1" xfId="0" applyNumberFormat="1" applyFont="1" applyBorder="1" applyAlignment="1">
      <alignment horizontal="right" vertical="center"/>
    </xf>
    <xf numFmtId="0" fontId="0" fillId="2" borderId="0" xfId="0" applyFill="1"/>
    <xf numFmtId="8" fontId="2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8" fontId="1" fillId="0" borderId="4" xfId="0" applyNumberFormat="1" applyFont="1" applyBorder="1" applyAlignment="1">
      <alignment horizontal="right" vertical="center"/>
    </xf>
    <xf numFmtId="8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3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8" fontId="2" fillId="0" borderId="7" xfId="0" applyNumberFormat="1" applyFont="1" applyBorder="1" applyAlignment="1">
      <alignment horizontal="right" vertical="center"/>
    </xf>
    <xf numFmtId="8" fontId="2" fillId="0" borderId="8" xfId="0" applyNumberFormat="1" applyFont="1" applyFill="1" applyBorder="1" applyAlignment="1">
      <alignment horizontal="right" vertical="center"/>
    </xf>
    <xf numFmtId="8" fontId="2" fillId="0" borderId="9" xfId="0" applyNumberFormat="1" applyFont="1" applyBorder="1" applyAlignment="1">
      <alignment horizontal="right" vertical="center"/>
    </xf>
    <xf numFmtId="8" fontId="2" fillId="0" borderId="7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/>
    <xf numFmtId="164" fontId="2" fillId="0" borderId="7" xfId="0" applyNumberFormat="1" applyFont="1" applyBorder="1" applyAlignment="1">
      <alignment horizontal="righ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132520</xdr:colOff>
      <xdr:row>0</xdr:row>
      <xdr:rowOff>52965</xdr:rowOff>
    </xdr:from>
    <xdr:to>
      <xdr:col>2</xdr:col>
      <xdr:colOff>1002194</xdr:colOff>
      <xdr:row>0</xdr:row>
      <xdr:rowOff>561769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0</xdr:row>
      <xdr:rowOff>33131</xdr:rowOff>
    </xdr:from>
    <xdr:to>
      <xdr:col>5</xdr:col>
      <xdr:colOff>538369</xdr:colOff>
      <xdr:row>0</xdr:row>
      <xdr:rowOff>519986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20</xdr:row>
      <xdr:rowOff>52965</xdr:rowOff>
    </xdr:from>
    <xdr:to>
      <xdr:col>2</xdr:col>
      <xdr:colOff>1002194</xdr:colOff>
      <xdr:row>20</xdr:row>
      <xdr:rowOff>561769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20</xdr:row>
      <xdr:rowOff>33131</xdr:rowOff>
    </xdr:from>
    <xdr:to>
      <xdr:col>5</xdr:col>
      <xdr:colOff>538369</xdr:colOff>
      <xdr:row>20</xdr:row>
      <xdr:rowOff>519986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37</xdr:row>
      <xdr:rowOff>52965</xdr:rowOff>
    </xdr:from>
    <xdr:to>
      <xdr:col>2</xdr:col>
      <xdr:colOff>1002194</xdr:colOff>
      <xdr:row>37</xdr:row>
      <xdr:rowOff>561769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37</xdr:row>
      <xdr:rowOff>33131</xdr:rowOff>
    </xdr:from>
    <xdr:to>
      <xdr:col>5</xdr:col>
      <xdr:colOff>538369</xdr:colOff>
      <xdr:row>37</xdr:row>
      <xdr:rowOff>519986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  <xdr:twoCellAnchor>
    <xdr:from>
      <xdr:col>1</xdr:col>
      <xdr:colOff>132520</xdr:colOff>
      <xdr:row>56</xdr:row>
      <xdr:rowOff>52965</xdr:rowOff>
    </xdr:from>
    <xdr:to>
      <xdr:col>2</xdr:col>
      <xdr:colOff>1002194</xdr:colOff>
      <xdr:row>56</xdr:row>
      <xdr:rowOff>561769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16" y="52965"/>
          <a:ext cx="1490869" cy="508804"/>
        </a:xfrm>
        <a:prstGeom prst="rect">
          <a:avLst/>
        </a:prstGeom>
      </xdr:spPr>
    </xdr:pic>
    <xdr:clientData/>
  </xdr:twoCellAnchor>
  <xdr:twoCellAnchor>
    <xdr:from>
      <xdr:col>4</xdr:col>
      <xdr:colOff>140804</xdr:colOff>
      <xdr:row>56</xdr:row>
      <xdr:rowOff>33131</xdr:rowOff>
    </xdr:from>
    <xdr:to>
      <xdr:col>5</xdr:col>
      <xdr:colOff>538369</xdr:colOff>
      <xdr:row>56</xdr:row>
      <xdr:rowOff>519986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6717" y="33131"/>
          <a:ext cx="1490869" cy="4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"/>
  <sheetViews>
    <sheetView tabSelected="1" zoomScale="115" zoomScaleNormal="115" zoomScalePageLayoutView="85" workbookViewId="0">
      <selection activeCell="B64" sqref="B64"/>
    </sheetView>
  </sheetViews>
  <sheetFormatPr defaultRowHeight="15" x14ac:dyDescent="0.25"/>
  <cols>
    <col min="1" max="1" width="9.28515625" style="9" bestFit="1" customWidth="1"/>
    <col min="2" max="2" width="9.28515625" bestFit="1" customWidth="1"/>
    <col min="3" max="3" width="17.28515625" style="9" bestFit="1" customWidth="1"/>
    <col min="4" max="4" width="47.5703125" style="12" customWidth="1"/>
    <col min="5" max="5" width="16.42578125" style="9" customWidth="1"/>
    <col min="6" max="6" width="10.5703125" style="10" bestFit="1" customWidth="1"/>
    <col min="7" max="7" width="13.42578125" style="8" bestFit="1" customWidth="1"/>
  </cols>
  <sheetData>
    <row r="1" spans="1:7" ht="45" customHeight="1" x14ac:dyDescent="0.25">
      <c r="A1" s="17"/>
      <c r="B1" s="39"/>
      <c r="C1" s="39"/>
      <c r="D1" s="12" t="s">
        <v>80</v>
      </c>
      <c r="E1" s="39"/>
      <c r="F1" s="39"/>
      <c r="G1" s="17"/>
    </row>
    <row r="2" spans="1:7" ht="20.25" x14ac:dyDescent="0.3">
      <c r="A2" s="40" t="s">
        <v>39</v>
      </c>
      <c r="B2" s="40"/>
      <c r="C2" s="40"/>
      <c r="D2" s="40"/>
      <c r="E2" s="40"/>
      <c r="F2" s="40"/>
      <c r="G2" s="40"/>
    </row>
    <row r="3" spans="1:7" s="11" customFormat="1" ht="15.75" x14ac:dyDescent="0.25">
      <c r="A3" s="21" t="s">
        <v>0</v>
      </c>
      <c r="B3" s="21" t="s">
        <v>7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</row>
    <row r="4" spans="1:7" ht="15.75" x14ac:dyDescent="0.25">
      <c r="A4" s="18">
        <v>2</v>
      </c>
      <c r="B4" s="2">
        <v>0</v>
      </c>
      <c r="C4" s="6" t="s">
        <v>8</v>
      </c>
      <c r="D4" s="20" t="s">
        <v>19</v>
      </c>
      <c r="E4" s="6" t="s">
        <v>35</v>
      </c>
      <c r="F4" s="16">
        <v>0.35</v>
      </c>
      <c r="G4" s="7">
        <f>B4*F4</f>
        <v>0</v>
      </c>
    </row>
    <row r="5" spans="1:7" ht="15.75" x14ac:dyDescent="0.25">
      <c r="A5" s="18">
        <v>2</v>
      </c>
      <c r="B5" s="2">
        <v>0</v>
      </c>
      <c r="C5" s="6" t="s">
        <v>8</v>
      </c>
      <c r="D5" s="20" t="s">
        <v>20</v>
      </c>
      <c r="E5" s="6" t="s">
        <v>35</v>
      </c>
      <c r="F5" s="16">
        <v>0.67</v>
      </c>
      <c r="G5" s="7">
        <f t="shared" ref="G5:G19" si="0">B5*F5</f>
        <v>0</v>
      </c>
    </row>
    <row r="6" spans="1:7" ht="15.75" x14ac:dyDescent="0.25">
      <c r="A6" s="18">
        <v>2</v>
      </c>
      <c r="B6" s="2">
        <v>0</v>
      </c>
      <c r="C6" s="6" t="s">
        <v>9</v>
      </c>
      <c r="D6" s="20" t="s">
        <v>21</v>
      </c>
      <c r="E6" s="6" t="s">
        <v>16</v>
      </c>
      <c r="F6" s="16">
        <v>13.35</v>
      </c>
      <c r="G6" s="7">
        <f t="shared" si="0"/>
        <v>0</v>
      </c>
    </row>
    <row r="7" spans="1:7" ht="15.75" x14ac:dyDescent="0.25">
      <c r="A7" s="18">
        <v>2</v>
      </c>
      <c r="B7" s="2">
        <v>0</v>
      </c>
      <c r="C7" s="6" t="s">
        <v>8</v>
      </c>
      <c r="D7" s="20" t="s">
        <v>22</v>
      </c>
      <c r="E7" s="6" t="s">
        <v>10</v>
      </c>
      <c r="F7" s="16">
        <v>0.19</v>
      </c>
      <c r="G7" s="7">
        <f t="shared" si="0"/>
        <v>0</v>
      </c>
    </row>
    <row r="8" spans="1:7" ht="15.75" x14ac:dyDescent="0.25">
      <c r="A8" s="18">
        <v>2</v>
      </c>
      <c r="B8" s="2">
        <v>0</v>
      </c>
      <c r="C8" s="6" t="s">
        <v>8</v>
      </c>
      <c r="D8" s="20" t="s">
        <v>23</v>
      </c>
      <c r="E8" s="6" t="s">
        <v>15</v>
      </c>
      <c r="F8" s="16">
        <v>0.5</v>
      </c>
      <c r="G8" s="7">
        <f t="shared" si="0"/>
        <v>0</v>
      </c>
    </row>
    <row r="9" spans="1:7" ht="15.75" x14ac:dyDescent="0.25">
      <c r="A9" s="18">
        <v>2</v>
      </c>
      <c r="B9" s="2">
        <v>0</v>
      </c>
      <c r="C9" s="6" t="s">
        <v>9</v>
      </c>
      <c r="D9" s="20" t="s">
        <v>24</v>
      </c>
      <c r="E9" s="6" t="s">
        <v>16</v>
      </c>
      <c r="F9" s="16">
        <v>7.92</v>
      </c>
      <c r="G9" s="7">
        <f t="shared" si="0"/>
        <v>0</v>
      </c>
    </row>
    <row r="10" spans="1:7" ht="15.75" x14ac:dyDescent="0.25">
      <c r="A10" s="18">
        <v>2</v>
      </c>
      <c r="B10" s="2">
        <v>0</v>
      </c>
      <c r="C10" s="6" t="s">
        <v>8</v>
      </c>
      <c r="D10" s="20" t="s">
        <v>25</v>
      </c>
      <c r="E10" s="6" t="s">
        <v>16</v>
      </c>
      <c r="F10" s="16">
        <v>0.21</v>
      </c>
      <c r="G10" s="7">
        <f t="shared" si="0"/>
        <v>0</v>
      </c>
    </row>
    <row r="11" spans="1:7" ht="15.75" x14ac:dyDescent="0.25">
      <c r="A11" s="18">
        <v>2</v>
      </c>
      <c r="B11" s="2">
        <v>0</v>
      </c>
      <c r="C11" s="6" t="s">
        <v>8</v>
      </c>
      <c r="D11" s="20" t="s">
        <v>26</v>
      </c>
      <c r="E11" s="6" t="s">
        <v>12</v>
      </c>
      <c r="F11" s="16">
        <v>1.6</v>
      </c>
      <c r="G11" s="7">
        <f t="shared" si="0"/>
        <v>0</v>
      </c>
    </row>
    <row r="12" spans="1:7" ht="15.75" x14ac:dyDescent="0.25">
      <c r="A12" s="18">
        <v>2</v>
      </c>
      <c r="B12" s="2">
        <v>0</v>
      </c>
      <c r="C12" s="6" t="s">
        <v>8</v>
      </c>
      <c r="D12" s="20" t="s">
        <v>27</v>
      </c>
      <c r="E12" s="6" t="s">
        <v>36</v>
      </c>
      <c r="F12" s="16">
        <v>0.28000000000000003</v>
      </c>
      <c r="G12" s="7">
        <f t="shared" si="0"/>
        <v>0</v>
      </c>
    </row>
    <row r="13" spans="1:7" ht="15.75" x14ac:dyDescent="0.25">
      <c r="A13" s="18">
        <v>2</v>
      </c>
      <c r="B13" s="2">
        <v>0</v>
      </c>
      <c r="C13" s="6" t="s">
        <v>14</v>
      </c>
      <c r="D13" s="20" t="s">
        <v>28</v>
      </c>
      <c r="E13" s="6" t="s">
        <v>37</v>
      </c>
      <c r="F13" s="16">
        <v>0.45</v>
      </c>
      <c r="G13" s="7">
        <f t="shared" si="0"/>
        <v>0</v>
      </c>
    </row>
    <row r="14" spans="1:7" ht="15.75" x14ac:dyDescent="0.25">
      <c r="A14" s="18">
        <v>2</v>
      </c>
      <c r="B14" s="2">
        <v>0</v>
      </c>
      <c r="C14" s="6" t="s">
        <v>8</v>
      </c>
      <c r="D14" s="20" t="s">
        <v>29</v>
      </c>
      <c r="E14" s="6" t="s">
        <v>13</v>
      </c>
      <c r="F14" s="16">
        <v>0.22</v>
      </c>
      <c r="G14" s="7">
        <f t="shared" si="0"/>
        <v>0</v>
      </c>
    </row>
    <row r="15" spans="1:7" ht="15.75" x14ac:dyDescent="0.25">
      <c r="A15" s="18">
        <v>2</v>
      </c>
      <c r="B15" s="2">
        <v>0</v>
      </c>
      <c r="C15" s="6" t="s">
        <v>8</v>
      </c>
      <c r="D15" s="20" t="s">
        <v>30</v>
      </c>
      <c r="E15" s="6" t="s">
        <v>10</v>
      </c>
      <c r="F15" s="16">
        <v>0.17</v>
      </c>
      <c r="G15" s="7">
        <f t="shared" si="0"/>
        <v>0</v>
      </c>
    </row>
    <row r="16" spans="1:7" ht="15.75" x14ac:dyDescent="0.25">
      <c r="A16" s="18">
        <v>2</v>
      </c>
      <c r="B16" s="2">
        <v>0</v>
      </c>
      <c r="C16" s="6" t="s">
        <v>14</v>
      </c>
      <c r="D16" s="20" t="s">
        <v>31</v>
      </c>
      <c r="E16" s="6" t="s">
        <v>16</v>
      </c>
      <c r="F16" s="16">
        <v>2.2000000000000002</v>
      </c>
      <c r="G16" s="7">
        <f t="shared" si="0"/>
        <v>0</v>
      </c>
    </row>
    <row r="17" spans="1:7" ht="15.75" x14ac:dyDescent="0.25">
      <c r="A17" s="18">
        <v>2</v>
      </c>
      <c r="B17" s="2">
        <v>0</v>
      </c>
      <c r="C17" s="6" t="s">
        <v>8</v>
      </c>
      <c r="D17" s="20" t="s">
        <v>32</v>
      </c>
      <c r="E17" s="6" t="s">
        <v>10</v>
      </c>
      <c r="F17" s="16">
        <v>0.16</v>
      </c>
      <c r="G17" s="7">
        <f t="shared" si="0"/>
        <v>0</v>
      </c>
    </row>
    <row r="18" spans="1:7" ht="15.75" x14ac:dyDescent="0.25">
      <c r="A18" s="18">
        <v>2</v>
      </c>
      <c r="B18" s="2">
        <v>0</v>
      </c>
      <c r="C18" s="6" t="s">
        <v>14</v>
      </c>
      <c r="D18" s="20" t="s">
        <v>33</v>
      </c>
      <c r="E18" s="6" t="s">
        <v>15</v>
      </c>
      <c r="F18" s="16">
        <v>4.38</v>
      </c>
      <c r="G18" s="7">
        <f t="shared" si="0"/>
        <v>0</v>
      </c>
    </row>
    <row r="19" spans="1:7" ht="31.5" x14ac:dyDescent="0.25">
      <c r="A19" s="18">
        <v>2</v>
      </c>
      <c r="B19" s="2">
        <v>0</v>
      </c>
      <c r="C19" s="6" t="s">
        <v>9</v>
      </c>
      <c r="D19" s="20" t="s">
        <v>34</v>
      </c>
      <c r="E19" s="6" t="s">
        <v>38</v>
      </c>
      <c r="F19" s="16">
        <v>4.4400000000000004</v>
      </c>
      <c r="G19" s="7">
        <f t="shared" si="0"/>
        <v>0</v>
      </c>
    </row>
    <row r="20" spans="1:7" ht="15.75" x14ac:dyDescent="0.25">
      <c r="A20" s="42" t="s">
        <v>18</v>
      </c>
      <c r="B20" s="42"/>
      <c r="C20" s="42"/>
      <c r="D20" s="42"/>
      <c r="E20" s="42"/>
      <c r="F20" s="42"/>
      <c r="G20" s="13">
        <f>SUM(G4:G19)</f>
        <v>0</v>
      </c>
    </row>
    <row r="21" spans="1:7" ht="45" customHeight="1" x14ac:dyDescent="0.25">
      <c r="A21" s="17"/>
      <c r="B21" s="39"/>
      <c r="C21" s="39"/>
      <c r="E21" s="39"/>
      <c r="F21" s="39"/>
      <c r="G21" s="17"/>
    </row>
    <row r="22" spans="1:7" ht="20.25" x14ac:dyDescent="0.3">
      <c r="A22" s="40" t="s">
        <v>40</v>
      </c>
      <c r="B22" s="40"/>
      <c r="C22" s="40"/>
      <c r="D22" s="40"/>
      <c r="E22" s="40"/>
      <c r="F22" s="40"/>
      <c r="G22" s="40"/>
    </row>
    <row r="23" spans="1:7" ht="15.75" x14ac:dyDescent="0.25">
      <c r="A23" s="1" t="s">
        <v>0</v>
      </c>
      <c r="B23" s="21" t="s">
        <v>1</v>
      </c>
      <c r="C23" s="21" t="s">
        <v>2</v>
      </c>
      <c r="D23" s="21" t="s">
        <v>3</v>
      </c>
      <c r="E23" s="21" t="s">
        <v>4</v>
      </c>
      <c r="F23" s="21" t="s">
        <v>5</v>
      </c>
      <c r="G23" s="21" t="s">
        <v>6</v>
      </c>
    </row>
    <row r="24" spans="1:7" s="24" customFormat="1" ht="15.75" customHeight="1" x14ac:dyDescent="0.25">
      <c r="A24" s="18">
        <v>3</v>
      </c>
      <c r="B24" s="18">
        <v>0</v>
      </c>
      <c r="C24" s="18" t="s">
        <v>8</v>
      </c>
      <c r="D24" s="3" t="s">
        <v>41</v>
      </c>
      <c r="E24" s="18" t="s">
        <v>36</v>
      </c>
      <c r="F24" s="23">
        <v>0.06</v>
      </c>
      <c r="G24" s="19">
        <f>B24*F24</f>
        <v>0</v>
      </c>
    </row>
    <row r="25" spans="1:7" ht="15.75" customHeight="1" x14ac:dyDescent="0.25">
      <c r="A25" s="38">
        <v>3</v>
      </c>
      <c r="B25" s="38">
        <v>0</v>
      </c>
      <c r="C25" s="6" t="s">
        <v>8</v>
      </c>
      <c r="D25" s="20" t="s">
        <v>42</v>
      </c>
      <c r="E25" s="6" t="s">
        <v>36</v>
      </c>
      <c r="F25" s="16">
        <v>0.06</v>
      </c>
      <c r="G25" s="41">
        <f>B25*F25</f>
        <v>0</v>
      </c>
    </row>
    <row r="26" spans="1:7" s="11" customFormat="1" ht="15.75" customHeight="1" x14ac:dyDescent="0.25">
      <c r="A26" s="38"/>
      <c r="B26" s="38"/>
      <c r="C26" s="6" t="s">
        <v>8</v>
      </c>
      <c r="D26" s="20" t="s">
        <v>43</v>
      </c>
      <c r="E26" s="6" t="s">
        <v>36</v>
      </c>
      <c r="F26" s="16">
        <v>0.11</v>
      </c>
      <c r="G26" s="41"/>
    </row>
    <row r="27" spans="1:7" ht="15.75" customHeight="1" x14ac:dyDescent="0.25">
      <c r="A27" s="4">
        <v>3</v>
      </c>
      <c r="B27" s="5">
        <v>0</v>
      </c>
      <c r="C27" s="6" t="s">
        <v>8</v>
      </c>
      <c r="D27" s="20" t="s">
        <v>44</v>
      </c>
      <c r="E27" s="6" t="s">
        <v>10</v>
      </c>
      <c r="F27" s="16">
        <v>0.08</v>
      </c>
      <c r="G27" s="19">
        <f>B27*F27</f>
        <v>0</v>
      </c>
    </row>
    <row r="28" spans="1:7" ht="15.75" customHeight="1" x14ac:dyDescent="0.25">
      <c r="A28" s="18">
        <v>3</v>
      </c>
      <c r="B28" s="5">
        <v>0</v>
      </c>
      <c r="C28" s="6" t="s">
        <v>8</v>
      </c>
      <c r="D28" s="20" t="s">
        <v>45</v>
      </c>
      <c r="E28" s="6" t="s">
        <v>10</v>
      </c>
      <c r="F28" s="16">
        <v>0.13</v>
      </c>
      <c r="G28" s="19">
        <f t="shared" ref="G28:G36" si="1">B28*F28</f>
        <v>0</v>
      </c>
    </row>
    <row r="29" spans="1:7" ht="15.75" customHeight="1" x14ac:dyDescent="0.25">
      <c r="A29" s="38">
        <v>3</v>
      </c>
      <c r="B29" s="5">
        <v>0</v>
      </c>
      <c r="C29" s="6" t="s">
        <v>8</v>
      </c>
      <c r="D29" s="20" t="s">
        <v>46</v>
      </c>
      <c r="E29" s="6" t="s">
        <v>11</v>
      </c>
      <c r="F29" s="16">
        <v>7.0000000000000007E-2</v>
      </c>
      <c r="G29" s="19">
        <f t="shared" si="1"/>
        <v>0</v>
      </c>
    </row>
    <row r="30" spans="1:7" ht="15.75" customHeight="1" x14ac:dyDescent="0.25">
      <c r="A30" s="38"/>
      <c r="B30" s="5">
        <v>0</v>
      </c>
      <c r="C30" s="6" t="s">
        <v>8</v>
      </c>
      <c r="D30" s="20" t="s">
        <v>47</v>
      </c>
      <c r="E30" s="6" t="s">
        <v>11</v>
      </c>
      <c r="F30" s="16">
        <v>0.05</v>
      </c>
      <c r="G30" s="19">
        <f t="shared" si="1"/>
        <v>0</v>
      </c>
    </row>
    <row r="31" spans="1:7" ht="15.75" customHeight="1" x14ac:dyDescent="0.25">
      <c r="A31" s="18">
        <v>3</v>
      </c>
      <c r="B31" s="5">
        <v>0</v>
      </c>
      <c r="C31" s="6" t="s">
        <v>9</v>
      </c>
      <c r="D31" s="20" t="s">
        <v>48</v>
      </c>
      <c r="E31" s="6" t="s">
        <v>16</v>
      </c>
      <c r="F31" s="16">
        <v>2.15</v>
      </c>
      <c r="G31" s="19">
        <f t="shared" si="1"/>
        <v>0</v>
      </c>
    </row>
    <row r="32" spans="1:7" ht="15.75" customHeight="1" x14ac:dyDescent="0.25">
      <c r="A32" s="18">
        <v>3</v>
      </c>
      <c r="B32" s="5">
        <v>0</v>
      </c>
      <c r="C32" s="6" t="s">
        <v>8</v>
      </c>
      <c r="D32" s="20" t="s">
        <v>49</v>
      </c>
      <c r="E32" s="6" t="s">
        <v>17</v>
      </c>
      <c r="F32" s="16">
        <v>0.05</v>
      </c>
      <c r="G32" s="19">
        <f t="shared" si="1"/>
        <v>0</v>
      </c>
    </row>
    <row r="33" spans="1:7" ht="15.75" customHeight="1" x14ac:dyDescent="0.25">
      <c r="A33" s="38">
        <v>3</v>
      </c>
      <c r="B33" s="5">
        <v>0</v>
      </c>
      <c r="C33" s="6" t="s">
        <v>8</v>
      </c>
      <c r="D33" s="20" t="s">
        <v>50</v>
      </c>
      <c r="E33" s="6" t="s">
        <v>17</v>
      </c>
      <c r="F33" s="16">
        <v>0.05</v>
      </c>
      <c r="G33" s="19">
        <f t="shared" si="1"/>
        <v>0</v>
      </c>
    </row>
    <row r="34" spans="1:7" ht="15.75" customHeight="1" x14ac:dyDescent="0.25">
      <c r="A34" s="38"/>
      <c r="B34" s="18">
        <v>0</v>
      </c>
      <c r="C34" s="6" t="s">
        <v>14</v>
      </c>
      <c r="D34" s="20" t="s">
        <v>78</v>
      </c>
      <c r="E34" s="6" t="s">
        <v>17</v>
      </c>
      <c r="F34" s="16">
        <v>0.94</v>
      </c>
      <c r="G34" s="19">
        <f t="shared" si="1"/>
        <v>0</v>
      </c>
    </row>
    <row r="35" spans="1:7" ht="15.75" customHeight="1" x14ac:dyDescent="0.25">
      <c r="A35" s="18">
        <v>3</v>
      </c>
      <c r="B35" s="5">
        <v>0</v>
      </c>
      <c r="C35" s="6" t="s">
        <v>14</v>
      </c>
      <c r="D35" s="20" t="s">
        <v>51</v>
      </c>
      <c r="E35" s="6" t="s">
        <v>16</v>
      </c>
      <c r="F35" s="16">
        <v>2.0499999999999998</v>
      </c>
      <c r="G35" s="19">
        <f t="shared" si="1"/>
        <v>0</v>
      </c>
    </row>
    <row r="36" spans="1:7" ht="15.75" customHeight="1" x14ac:dyDescent="0.25">
      <c r="A36" s="4">
        <v>3</v>
      </c>
      <c r="B36" s="5">
        <v>0</v>
      </c>
      <c r="C36" s="6" t="s">
        <v>14</v>
      </c>
      <c r="D36" s="20" t="s">
        <v>52</v>
      </c>
      <c r="E36" s="6" t="s">
        <v>38</v>
      </c>
      <c r="F36" s="16">
        <v>4.17</v>
      </c>
      <c r="G36" s="19">
        <f t="shared" si="1"/>
        <v>0</v>
      </c>
    </row>
    <row r="37" spans="1:7" ht="15.75" x14ac:dyDescent="0.25">
      <c r="A37" s="42" t="s">
        <v>18</v>
      </c>
      <c r="B37" s="43"/>
      <c r="C37" s="43"/>
      <c r="D37" s="43"/>
      <c r="E37" s="43"/>
      <c r="F37" s="43"/>
      <c r="G37" s="22">
        <f>SUM(G27:G36,G24:G26)</f>
        <v>0</v>
      </c>
    </row>
    <row r="38" spans="1:7" ht="45" customHeight="1" x14ac:dyDescent="0.25">
      <c r="A38" s="17"/>
      <c r="B38" s="39"/>
      <c r="C38" s="39"/>
      <c r="E38" s="39"/>
      <c r="F38" s="39"/>
      <c r="G38" s="17"/>
    </row>
    <row r="39" spans="1:7" ht="20.25" x14ac:dyDescent="0.3">
      <c r="A39" s="40" t="s">
        <v>53</v>
      </c>
      <c r="B39" s="40"/>
      <c r="C39" s="40"/>
      <c r="D39" s="40"/>
      <c r="E39" s="40"/>
      <c r="F39" s="40"/>
      <c r="G39" s="40"/>
    </row>
    <row r="40" spans="1:7" ht="15.75" x14ac:dyDescent="0.25">
      <c r="A40" s="1" t="s">
        <v>0</v>
      </c>
      <c r="B40" s="1" t="s">
        <v>1</v>
      </c>
      <c r="C40" s="34" t="s">
        <v>2</v>
      </c>
      <c r="D40" s="34" t="s">
        <v>3</v>
      </c>
      <c r="E40" s="34" t="s">
        <v>4</v>
      </c>
      <c r="F40" s="34" t="s">
        <v>5</v>
      </c>
      <c r="G40" s="1" t="s">
        <v>6</v>
      </c>
    </row>
    <row r="41" spans="1:7" ht="15.75" customHeight="1" x14ac:dyDescent="0.25">
      <c r="A41" s="4">
        <v>4</v>
      </c>
      <c r="B41" s="25">
        <v>0</v>
      </c>
      <c r="C41" s="6" t="s">
        <v>8</v>
      </c>
      <c r="D41" s="20" t="s">
        <v>54</v>
      </c>
      <c r="E41" s="6" t="s">
        <v>38</v>
      </c>
      <c r="F41" s="16">
        <v>0.3</v>
      </c>
      <c r="G41" s="30">
        <f>B41*F41</f>
        <v>0</v>
      </c>
    </row>
    <row r="42" spans="1:7" ht="15.75" customHeight="1" x14ac:dyDescent="0.25">
      <c r="A42" s="4">
        <v>4</v>
      </c>
      <c r="B42" s="25">
        <v>0</v>
      </c>
      <c r="C42" s="6" t="s">
        <v>8</v>
      </c>
      <c r="D42" s="20" t="s">
        <v>55</v>
      </c>
      <c r="E42" s="6" t="s">
        <v>15</v>
      </c>
      <c r="F42" s="16">
        <v>0.31</v>
      </c>
      <c r="G42" s="30">
        <f t="shared" ref="G42:G50" si="2">B42*F42</f>
        <v>0</v>
      </c>
    </row>
    <row r="43" spans="1:7" s="11" customFormat="1" ht="15.75" customHeight="1" x14ac:dyDescent="0.25">
      <c r="A43" s="4">
        <v>4</v>
      </c>
      <c r="B43" s="25">
        <v>0</v>
      </c>
      <c r="C43" s="6" t="s">
        <v>14</v>
      </c>
      <c r="D43" s="20" t="s">
        <v>56</v>
      </c>
      <c r="E43" s="6" t="s">
        <v>38</v>
      </c>
      <c r="F43" s="16">
        <v>2.0699999999999998</v>
      </c>
      <c r="G43" s="30">
        <f t="shared" si="2"/>
        <v>0</v>
      </c>
    </row>
    <row r="44" spans="1:7" ht="15.75" customHeight="1" x14ac:dyDescent="0.25">
      <c r="A44" s="18">
        <v>4</v>
      </c>
      <c r="B44" s="26">
        <v>0</v>
      </c>
      <c r="C44" s="6" t="s">
        <v>9</v>
      </c>
      <c r="D44" s="20" t="s">
        <v>57</v>
      </c>
      <c r="E44" s="6" t="s">
        <v>15</v>
      </c>
      <c r="F44" s="16">
        <v>9.39</v>
      </c>
      <c r="G44" s="30">
        <f t="shared" si="2"/>
        <v>0</v>
      </c>
    </row>
    <row r="45" spans="1:7" ht="15.75" customHeight="1" x14ac:dyDescent="0.25">
      <c r="A45" s="18">
        <v>4</v>
      </c>
      <c r="B45" s="26">
        <v>0</v>
      </c>
      <c r="C45" s="6" t="s">
        <v>8</v>
      </c>
      <c r="D45" s="20" t="s">
        <v>58</v>
      </c>
      <c r="E45" s="6" t="s">
        <v>15</v>
      </c>
      <c r="F45" s="16">
        <v>0.18</v>
      </c>
      <c r="G45" s="30">
        <f t="shared" si="2"/>
        <v>0</v>
      </c>
    </row>
    <row r="46" spans="1:7" ht="15.75" customHeight="1" x14ac:dyDescent="0.25">
      <c r="A46" s="18">
        <v>4</v>
      </c>
      <c r="B46" s="26">
        <v>0</v>
      </c>
      <c r="C46" s="6" t="s">
        <v>8</v>
      </c>
      <c r="D46" s="20" t="s">
        <v>59</v>
      </c>
      <c r="E46" s="6" t="s">
        <v>38</v>
      </c>
      <c r="F46" s="16">
        <v>0.17</v>
      </c>
      <c r="G46" s="30">
        <f t="shared" si="2"/>
        <v>0</v>
      </c>
    </row>
    <row r="47" spans="1:7" ht="15.75" customHeight="1" x14ac:dyDescent="0.25">
      <c r="A47" s="18">
        <v>4</v>
      </c>
      <c r="B47" s="26">
        <v>0</v>
      </c>
      <c r="C47" s="6" t="s">
        <v>14</v>
      </c>
      <c r="D47" s="20" t="s">
        <v>60</v>
      </c>
      <c r="E47" s="6" t="s">
        <v>38</v>
      </c>
      <c r="F47" s="16">
        <v>5.41</v>
      </c>
      <c r="G47" s="30">
        <f t="shared" si="2"/>
        <v>0</v>
      </c>
    </row>
    <row r="48" spans="1:7" ht="15.75" customHeight="1" x14ac:dyDescent="0.25">
      <c r="A48" s="18">
        <v>4</v>
      </c>
      <c r="B48" s="25">
        <v>0</v>
      </c>
      <c r="C48" s="6" t="s">
        <v>14</v>
      </c>
      <c r="D48" s="20" t="s">
        <v>61</v>
      </c>
      <c r="E48" s="6" t="s">
        <v>38</v>
      </c>
      <c r="F48" s="16">
        <v>6.18</v>
      </c>
      <c r="G48" s="30">
        <f>B48*F48</f>
        <v>0</v>
      </c>
    </row>
    <row r="49" spans="1:7" ht="15.75" customHeight="1" x14ac:dyDescent="0.25">
      <c r="A49" s="18">
        <v>4</v>
      </c>
      <c r="B49" s="37">
        <v>0</v>
      </c>
      <c r="C49" s="6" t="s">
        <v>14</v>
      </c>
      <c r="D49" s="20" t="s">
        <v>79</v>
      </c>
      <c r="E49" s="6" t="s">
        <v>38</v>
      </c>
      <c r="F49" s="16">
        <v>1.88</v>
      </c>
      <c r="G49" s="31">
        <f>B49*F49</f>
        <v>0</v>
      </c>
    </row>
    <row r="50" spans="1:7" ht="15.75" customHeight="1" x14ac:dyDescent="0.25">
      <c r="A50" s="18">
        <v>4</v>
      </c>
      <c r="B50" s="27">
        <v>0</v>
      </c>
      <c r="C50" s="6" t="s">
        <v>9</v>
      </c>
      <c r="D50" s="20" t="s">
        <v>62</v>
      </c>
      <c r="E50" s="6" t="s">
        <v>38</v>
      </c>
      <c r="F50" s="16">
        <v>4.42</v>
      </c>
      <c r="G50" s="32">
        <f t="shared" si="2"/>
        <v>0</v>
      </c>
    </row>
    <row r="51" spans="1:7" ht="15.75" customHeight="1" x14ac:dyDescent="0.25">
      <c r="A51" s="18">
        <v>4</v>
      </c>
      <c r="B51" s="28">
        <v>0</v>
      </c>
      <c r="C51" s="6" t="s">
        <v>8</v>
      </c>
      <c r="D51" s="20" t="s">
        <v>63</v>
      </c>
      <c r="E51" s="6" t="s">
        <v>16</v>
      </c>
      <c r="F51" s="16">
        <v>0.7</v>
      </c>
      <c r="G51" s="33">
        <f>B51*F51</f>
        <v>0</v>
      </c>
    </row>
    <row r="52" spans="1:7" ht="15.75" customHeight="1" x14ac:dyDescent="0.25">
      <c r="A52" s="18">
        <v>4</v>
      </c>
      <c r="B52" s="29">
        <v>0</v>
      </c>
      <c r="C52" s="6" t="s">
        <v>8</v>
      </c>
      <c r="D52" s="20" t="s">
        <v>64</v>
      </c>
      <c r="E52" s="6" t="s">
        <v>15</v>
      </c>
      <c r="F52" s="16">
        <v>0.52</v>
      </c>
      <c r="G52" s="33">
        <f>F52*B52</f>
        <v>0</v>
      </c>
    </row>
    <row r="53" spans="1:7" ht="15.75" customHeight="1" x14ac:dyDescent="0.25">
      <c r="A53" s="18">
        <v>4</v>
      </c>
      <c r="B53" s="28">
        <v>0</v>
      </c>
      <c r="C53" s="6" t="s">
        <v>9</v>
      </c>
      <c r="D53" s="20" t="s">
        <v>65</v>
      </c>
      <c r="E53" s="6" t="s">
        <v>15</v>
      </c>
      <c r="F53" s="16">
        <v>12.6</v>
      </c>
      <c r="G53" s="33">
        <f>F53*B53</f>
        <v>0</v>
      </c>
    </row>
    <row r="54" spans="1:7" ht="15.75" customHeight="1" x14ac:dyDescent="0.25">
      <c r="A54" s="18">
        <v>4</v>
      </c>
      <c r="B54" s="28">
        <v>0</v>
      </c>
      <c r="C54" s="6" t="s">
        <v>9</v>
      </c>
      <c r="D54" s="20" t="s">
        <v>66</v>
      </c>
      <c r="E54" s="6" t="s">
        <v>67</v>
      </c>
      <c r="F54" s="16">
        <v>12.07</v>
      </c>
      <c r="G54" s="33">
        <f>F54*B54</f>
        <v>0</v>
      </c>
    </row>
    <row r="55" spans="1:7" ht="15.75" customHeight="1" x14ac:dyDescent="0.25">
      <c r="A55" s="18">
        <v>4</v>
      </c>
      <c r="B55" s="28">
        <v>0</v>
      </c>
      <c r="C55" s="6" t="s">
        <v>9</v>
      </c>
      <c r="D55" s="20" t="s">
        <v>68</v>
      </c>
      <c r="E55" s="6" t="s">
        <v>67</v>
      </c>
      <c r="F55" s="16">
        <v>20.55</v>
      </c>
      <c r="G55" s="33">
        <f t="shared" ref="G55" si="3">F55*B55</f>
        <v>0</v>
      </c>
    </row>
    <row r="56" spans="1:7" ht="15.75" x14ac:dyDescent="0.25">
      <c r="A56" s="42" t="s">
        <v>18</v>
      </c>
      <c r="B56" s="42"/>
      <c r="C56" s="42"/>
      <c r="D56" s="42"/>
      <c r="E56" s="42"/>
      <c r="F56" s="42"/>
      <c r="G56" s="14">
        <f>SUM(G41:G55)</f>
        <v>0</v>
      </c>
    </row>
    <row r="57" spans="1:7" ht="45" customHeight="1" x14ac:dyDescent="0.25">
      <c r="A57" s="17"/>
      <c r="B57" s="39"/>
      <c r="C57" s="39"/>
      <c r="E57" s="39"/>
      <c r="F57" s="39"/>
      <c r="G57" s="17"/>
    </row>
    <row r="58" spans="1:7" ht="20.25" x14ac:dyDescent="0.3">
      <c r="A58" s="40" t="s">
        <v>69</v>
      </c>
      <c r="B58" s="40"/>
      <c r="C58" s="40"/>
      <c r="D58" s="40"/>
      <c r="E58" s="40"/>
      <c r="F58" s="40"/>
      <c r="G58" s="40"/>
    </row>
    <row r="59" spans="1:7" ht="15.75" x14ac:dyDescent="0.25">
      <c r="A59" s="1" t="s">
        <v>0</v>
      </c>
      <c r="B59" s="1" t="s">
        <v>7</v>
      </c>
      <c r="C59" s="34" t="s">
        <v>2</v>
      </c>
      <c r="D59" s="34" t="s">
        <v>3</v>
      </c>
      <c r="E59" s="34" t="s">
        <v>4</v>
      </c>
      <c r="F59" s="34" t="s">
        <v>5</v>
      </c>
      <c r="G59" s="1" t="s">
        <v>6</v>
      </c>
    </row>
    <row r="60" spans="1:7" ht="15.75" customHeight="1" x14ac:dyDescent="0.25">
      <c r="A60" s="4">
        <v>5</v>
      </c>
      <c r="B60" s="35">
        <v>0</v>
      </c>
      <c r="C60" s="6" t="s">
        <v>14</v>
      </c>
      <c r="D60" s="20" t="s">
        <v>70</v>
      </c>
      <c r="E60" s="6" t="s">
        <v>15</v>
      </c>
      <c r="F60" s="16">
        <v>2.34</v>
      </c>
      <c r="G60" s="36">
        <f>B60*F60</f>
        <v>0</v>
      </c>
    </row>
    <row r="61" spans="1:7" ht="15.75" customHeight="1" x14ac:dyDescent="0.25">
      <c r="A61" s="4">
        <v>5</v>
      </c>
      <c r="B61" s="35">
        <v>0</v>
      </c>
      <c r="C61" s="6" t="s">
        <v>14</v>
      </c>
      <c r="D61" s="20" t="s">
        <v>71</v>
      </c>
      <c r="E61" s="6" t="s">
        <v>16</v>
      </c>
      <c r="F61" s="16">
        <v>5</v>
      </c>
      <c r="G61" s="36">
        <f t="shared" ref="G61:G66" si="4">B61*F61</f>
        <v>0</v>
      </c>
    </row>
    <row r="62" spans="1:7" s="11" customFormat="1" ht="15.75" customHeight="1" x14ac:dyDescent="0.25">
      <c r="A62" s="4">
        <v>5</v>
      </c>
      <c r="B62" s="35">
        <v>0</v>
      </c>
      <c r="C62" s="6" t="s">
        <v>14</v>
      </c>
      <c r="D62" s="20" t="s">
        <v>72</v>
      </c>
      <c r="E62" s="6" t="s">
        <v>38</v>
      </c>
      <c r="F62" s="16">
        <v>4.4000000000000004</v>
      </c>
      <c r="G62" s="36">
        <f t="shared" si="4"/>
        <v>0</v>
      </c>
    </row>
    <row r="63" spans="1:7" ht="15.75" customHeight="1" x14ac:dyDescent="0.25">
      <c r="A63" s="18">
        <v>5</v>
      </c>
      <c r="B63" s="35">
        <v>0</v>
      </c>
      <c r="C63" s="6" t="s">
        <v>8</v>
      </c>
      <c r="D63" s="20" t="s">
        <v>73</v>
      </c>
      <c r="E63" s="6" t="s">
        <v>36</v>
      </c>
      <c r="F63" s="16">
        <v>0.15</v>
      </c>
      <c r="G63" s="36">
        <f t="shared" si="4"/>
        <v>0</v>
      </c>
    </row>
    <row r="64" spans="1:7" ht="15.75" customHeight="1" x14ac:dyDescent="0.25">
      <c r="A64" s="18">
        <v>5</v>
      </c>
      <c r="B64" s="35">
        <v>0</v>
      </c>
      <c r="C64" s="6" t="s">
        <v>14</v>
      </c>
      <c r="D64" s="20" t="s">
        <v>74</v>
      </c>
      <c r="E64" s="6" t="s">
        <v>10</v>
      </c>
      <c r="F64" s="16">
        <v>2.36</v>
      </c>
      <c r="G64" s="36">
        <f t="shared" si="4"/>
        <v>0</v>
      </c>
    </row>
    <row r="65" spans="1:7" ht="31.5" x14ac:dyDescent="0.25">
      <c r="A65" s="18">
        <v>5</v>
      </c>
      <c r="B65" s="35">
        <v>0</v>
      </c>
      <c r="C65" s="6" t="s">
        <v>14</v>
      </c>
      <c r="D65" s="20" t="s">
        <v>75</v>
      </c>
      <c r="E65" s="6" t="s">
        <v>38</v>
      </c>
      <c r="F65" s="16">
        <v>3.91</v>
      </c>
      <c r="G65" s="36">
        <f t="shared" si="4"/>
        <v>0</v>
      </c>
    </row>
    <row r="66" spans="1:7" ht="31.5" x14ac:dyDescent="0.25">
      <c r="A66" s="18">
        <v>5</v>
      </c>
      <c r="B66" s="35">
        <v>0</v>
      </c>
      <c r="C66" s="6" t="s">
        <v>14</v>
      </c>
      <c r="D66" s="20" t="s">
        <v>76</v>
      </c>
      <c r="E66" s="6" t="s">
        <v>16</v>
      </c>
      <c r="F66" s="16">
        <v>3.63</v>
      </c>
      <c r="G66" s="36">
        <f t="shared" si="4"/>
        <v>0</v>
      </c>
    </row>
    <row r="67" spans="1:7" ht="15.75" x14ac:dyDescent="0.25">
      <c r="A67" s="42" t="s">
        <v>77</v>
      </c>
      <c r="B67" s="42"/>
      <c r="C67" s="42"/>
      <c r="D67" s="42"/>
      <c r="E67" s="42"/>
      <c r="F67" s="42"/>
      <c r="G67" s="13">
        <f>SUM(G60:G66)</f>
        <v>0</v>
      </c>
    </row>
    <row r="68" spans="1:7" x14ac:dyDescent="0.25">
      <c r="A68" s="15"/>
      <c r="B68" s="15"/>
      <c r="C68" s="15"/>
      <c r="D68" s="15"/>
      <c r="E68" s="15"/>
      <c r="F68" s="15"/>
      <c r="G68" s="15"/>
    </row>
    <row r="69" spans="1:7" x14ac:dyDescent="0.25">
      <c r="A69"/>
      <c r="C69"/>
      <c r="D69"/>
      <c r="E69"/>
      <c r="F69"/>
      <c r="G69"/>
    </row>
    <row r="70" spans="1:7" x14ac:dyDescent="0.25">
      <c r="A70"/>
      <c r="C70"/>
      <c r="D70"/>
      <c r="E70"/>
      <c r="F70"/>
      <c r="G70"/>
    </row>
  </sheetData>
  <mergeCells count="21">
    <mergeCell ref="B57:C57"/>
    <mergeCell ref="E57:F57"/>
    <mergeCell ref="A37:F37"/>
    <mergeCell ref="A56:F56"/>
    <mergeCell ref="A67:F67"/>
    <mergeCell ref="A29:A30"/>
    <mergeCell ref="A33:A34"/>
    <mergeCell ref="B1:C1"/>
    <mergeCell ref="E1:F1"/>
    <mergeCell ref="A58:G58"/>
    <mergeCell ref="A39:G39"/>
    <mergeCell ref="A2:G2"/>
    <mergeCell ref="A22:G22"/>
    <mergeCell ref="A25:A26"/>
    <mergeCell ref="B25:B26"/>
    <mergeCell ref="G25:G26"/>
    <mergeCell ref="A20:F20"/>
    <mergeCell ref="B21:C21"/>
    <mergeCell ref="E21:F21"/>
    <mergeCell ref="B38:C38"/>
    <mergeCell ref="E38:F38"/>
  </mergeCells>
  <pageMargins left="0.23622047244094491" right="0.23622047244094491" top="0.39370078740157483" bottom="0.39370078740157483" header="0.31496062992125984" footer="0.31496062992125984"/>
  <pageSetup paperSize="9" scale="82" fitToHeight="0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2025-11-26T12:54:10Z</dcterms:modified>
</cp:coreProperties>
</file>