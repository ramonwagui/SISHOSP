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8_{C6F2BE3D-9B7F-46CC-833E-F74C585AA1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4" i="1" l="1"/>
  <c r="G115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3" i="1"/>
  <c r="G122" i="1"/>
  <c r="G121" i="1"/>
  <c r="G120" i="1"/>
  <c r="G119" i="1"/>
  <c r="G118" i="1"/>
  <c r="G117" i="1"/>
  <c r="G116" i="1"/>
  <c r="G100" i="1"/>
  <c r="G101" i="1"/>
  <c r="G102" i="1"/>
  <c r="G103" i="1"/>
  <c r="G104" i="1"/>
  <c r="G105" i="1"/>
  <c r="G106" i="1"/>
  <c r="G107" i="1"/>
  <c r="G108" i="1"/>
  <c r="G109" i="1"/>
  <c r="G110" i="1"/>
  <c r="G85" i="1"/>
  <c r="G137" i="1" l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49" i="1"/>
  <c r="G48" i="1"/>
  <c r="G80" i="1"/>
  <c r="G77" i="1"/>
  <c r="G78" i="1"/>
  <c r="G79" i="1"/>
  <c r="G68" i="1"/>
  <c r="G69" i="1"/>
  <c r="G70" i="1"/>
  <c r="G71" i="1"/>
  <c r="G72" i="1"/>
  <c r="G73" i="1"/>
  <c r="G74" i="1"/>
  <c r="G75" i="1"/>
  <c r="G76" i="1"/>
  <c r="G58" i="1"/>
  <c r="G59" i="1"/>
  <c r="G60" i="1"/>
  <c r="G61" i="1"/>
  <c r="G62" i="1"/>
  <c r="G63" i="1"/>
  <c r="G64" i="1"/>
  <c r="G65" i="1"/>
  <c r="G66" i="1"/>
  <c r="G67" i="1"/>
  <c r="G54" i="1"/>
  <c r="G55" i="1"/>
  <c r="G56" i="1"/>
  <c r="G57" i="1"/>
  <c r="G53" i="1"/>
  <c r="G52" i="1"/>
  <c r="G51" i="1"/>
  <c r="G50" i="1"/>
  <c r="G41" i="1"/>
  <c r="G42" i="1"/>
  <c r="G43" i="1"/>
  <c r="G44" i="1"/>
  <c r="G45" i="1"/>
  <c r="G46" i="1"/>
  <c r="G47" i="1"/>
  <c r="G40" i="1"/>
  <c r="G27" i="1"/>
  <c r="G28" i="1"/>
  <c r="G29" i="1"/>
  <c r="G30" i="1"/>
  <c r="G31" i="1"/>
  <c r="G32" i="1"/>
  <c r="G33" i="1"/>
  <c r="G34" i="1"/>
  <c r="G35" i="1"/>
  <c r="G26" i="1"/>
  <c r="G24" i="1"/>
  <c r="G2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4" i="1"/>
  <c r="G111" i="1" l="1"/>
  <c r="G81" i="1"/>
  <c r="G19" i="1"/>
  <c r="G36" i="1"/>
</calcChain>
</file>

<file path=xl/sharedStrings.xml><?xml version="1.0" encoding="utf-8"?>
<sst xmlns="http://schemas.openxmlformats.org/spreadsheetml/2006/main" count="402" uniqueCount="167">
  <si>
    <t>ITEM</t>
  </si>
  <si>
    <t>QUANT.</t>
  </si>
  <si>
    <t>UNID.</t>
  </si>
  <si>
    <t>DESCRIÇÃO</t>
  </si>
  <si>
    <t>MARCA</t>
  </si>
  <si>
    <t>V. UNIT.</t>
  </si>
  <si>
    <t>V. TOTAL</t>
  </si>
  <si>
    <t>QUANT</t>
  </si>
  <si>
    <t>AMITRIPTILINA 25 MG</t>
  </si>
  <si>
    <t>AMITRIPTILINA 75 MG</t>
  </si>
  <si>
    <t>CITALOPRAM 10 MG</t>
  </si>
  <si>
    <t>CITALOPRAM 20 MG</t>
  </si>
  <si>
    <t>DULOXETINA 30 MG</t>
  </si>
  <si>
    <t>DULOXETINA 60 MG</t>
  </si>
  <si>
    <t>ESCITALOPRAM 10 MG</t>
  </si>
  <si>
    <t>ESCITALOPRAM 20 MG</t>
  </si>
  <si>
    <t>FLUOXETINA 20 MG</t>
  </si>
  <si>
    <t>FLUOXETINA GOTAS 20 MG/ML 20 ML</t>
  </si>
  <si>
    <t>PAROXETINA 10 MG</t>
  </si>
  <si>
    <t>PAROXETINA 20 MG</t>
  </si>
  <si>
    <t>SERTRALINA 25 MG</t>
  </si>
  <si>
    <t>SERTRALINA 50 MG</t>
  </si>
  <si>
    <t>VENLAFAXINA 75MG</t>
  </si>
  <si>
    <t>COMPRIMIDOS</t>
  </si>
  <si>
    <t>CAPSULAS</t>
  </si>
  <si>
    <t>FRASCOS</t>
  </si>
  <si>
    <t>TEUTO</t>
  </si>
  <si>
    <t>E.M.S</t>
  </si>
  <si>
    <t>GEOLAB</t>
  </si>
  <si>
    <t>PRATI</t>
  </si>
  <si>
    <t>ZYDUS</t>
  </si>
  <si>
    <t>EUROFARMA</t>
  </si>
  <si>
    <t>GLOBO</t>
  </si>
  <si>
    <t>LOTE I – ANTIDEPRESSIVOS (ISRS, IRSN E TRICÍCLICOS)</t>
  </si>
  <si>
    <t>LOTE VI – OUTROS</t>
  </si>
  <si>
    <t>AMPOLAS</t>
  </si>
  <si>
    <t>FLUMAZENIL INJETÁVEL</t>
  </si>
  <si>
    <t>CRISTALIA</t>
  </si>
  <si>
    <t>RISPERIDONA 01 MG</t>
  </si>
  <si>
    <t>RISPERIDONA 02 MG</t>
  </si>
  <si>
    <t>RISPERIDONA 03 MG</t>
  </si>
  <si>
    <t>VITAMEDIC</t>
  </si>
  <si>
    <t>RISPERIDONA LIQUIDO</t>
  </si>
  <si>
    <t>BIPERIDENO 02 MG</t>
  </si>
  <si>
    <t>BIPERIDENO 04 MG</t>
  </si>
  <si>
    <t>BAGO</t>
  </si>
  <si>
    <t>LISDEXANFETAMINA 30MG</t>
  </si>
  <si>
    <t>LISDEXANFETAMINA 70MG</t>
  </si>
  <si>
    <t>METILFENIDATO 10MG</t>
  </si>
  <si>
    <t>METILFENIDATO 20MG</t>
  </si>
  <si>
    <t>NOVARTS</t>
  </si>
  <si>
    <t>ETOMIDATO 2 MG / ML (10 ML - SOLUÇÃO INJETÁVEL IV)</t>
  </si>
  <si>
    <t>ACIDO ASCORBICO 100 MG / ML 05 ML</t>
  </si>
  <si>
    <t>FARMACE</t>
  </si>
  <si>
    <t>ACIDO TRANEXAMICO 50 MG / ML 05 ML</t>
  </si>
  <si>
    <t>HIPOLABOR</t>
  </si>
  <si>
    <t>ADRENALINA 01 MG 1 ML (EPINEFRINA)</t>
  </si>
  <si>
    <t>HYPOFARMA</t>
  </si>
  <si>
    <t>AMINOFILINA 24 MG / ML 10 ML</t>
  </si>
  <si>
    <t>AMIODARONA 50 MG / ML 03 ML</t>
  </si>
  <si>
    <t>ATROPINA 0,25 MG 01 ML</t>
  </si>
  <si>
    <t>BICARBONATO DE SODIO 10 10 ML</t>
  </si>
  <si>
    <t>BROMOPRIDA 05 MG / ML 02 ML</t>
  </si>
  <si>
    <t>FRESENIUS</t>
  </si>
  <si>
    <t>BUTILBROMETO DE ESCOPOLAMINA 20 MG / ML 01</t>
  </si>
  <si>
    <t>BLAU</t>
  </si>
  <si>
    <t>COMPLEXO B 02 ML</t>
  </si>
  <si>
    <t>DESLANOSIDEO 0,2 MG / 2 ML</t>
  </si>
  <si>
    <t>U.QUIMICA</t>
  </si>
  <si>
    <t>DOBUTAMINA 250 MG 20 ML</t>
  </si>
  <si>
    <t>DOPAMINA 50 MG / ML</t>
  </si>
  <si>
    <t>ENOXAPARINA 40 MG 04 ML</t>
  </si>
  <si>
    <t>ENOXAPARINA 60 MG 0,6 ML</t>
  </si>
  <si>
    <t>ETILEFRINA 10 MG 01 ML</t>
  </si>
  <si>
    <t>FITOMENADIONA 10 MG 01 ML</t>
  </si>
  <si>
    <t>FUROSEMIDA 10 MG / ML 02 ML</t>
  </si>
  <si>
    <t>GLICOSE 50 10 ML</t>
  </si>
  <si>
    <t>BOLSAS</t>
  </si>
  <si>
    <t>HEPARINA 5.000 UI 0,25 ML</t>
  </si>
  <si>
    <t>HEPARINA 5.000 UI 5 ML</t>
  </si>
  <si>
    <t>HIDRALAZINA 20 MG / ML 01 ML</t>
  </si>
  <si>
    <t>KCL 10 10 ML</t>
  </si>
  <si>
    <t>LIDOCAINA 2 SEM VASO 20 ML</t>
  </si>
  <si>
    <t>MALEATO DE METILERGOMETRINA 0,2 MG 01 ML</t>
  </si>
  <si>
    <t>MANITOL 20 250 ML</t>
  </si>
  <si>
    <t>MATERGAM IMUNOGLOBULINA 300 MCG</t>
  </si>
  <si>
    <t>CSL</t>
  </si>
  <si>
    <t>METOCLOPRAMIDA 05 MG / ML 02 ML</t>
  </si>
  <si>
    <t>SANTISA</t>
  </si>
  <si>
    <t>NACL 20 10 ML</t>
  </si>
  <si>
    <t>NIPRIDE (NITROPRUSSIDE) 50 MG / 02 ML</t>
  </si>
  <si>
    <t>NOREPINEFRINA 02 MG / ML 04 ML</t>
  </si>
  <si>
    <t>OCITOCINA 5000 UI 01 ML</t>
  </si>
  <si>
    <t>OMEPRAZOL 40 MG 10 ML</t>
  </si>
  <si>
    <t>ONDANSETRONA 2 MG / ML</t>
  </si>
  <si>
    <t>ONDANSETRONA 4 MG / ML</t>
  </si>
  <si>
    <t>PANTOPRAZOL 40 MG</t>
  </si>
  <si>
    <t>PIRACETAM 200 MG / ML</t>
  </si>
  <si>
    <t>MEDLEY</t>
  </si>
  <si>
    <t>PROMETAZINA 50 MG / ML 02 ML</t>
  </si>
  <si>
    <t xml:space="preserve">CLORETO DE SUXAMETÔNIO 500 MG (PÓ PARA SOLUÇÃO INJETAVEL) 
</t>
  </si>
  <si>
    <t>CLORETO DE SUXAMETÔNIO 100 MG (PÓ PARA SOLUÇÃO INJETAVEL)</t>
  </si>
  <si>
    <t>ISOFARMA</t>
  </si>
  <si>
    <t>AMPICILINA 01 GR 05 ML</t>
  </si>
  <si>
    <t>CEFALOTINA 01 GR</t>
  </si>
  <si>
    <t>CEFEPIMA 01 GR</t>
  </si>
  <si>
    <t>CEFEPIMA 02 GR</t>
  </si>
  <si>
    <t>CEFTRIAXONA 01 GR IM</t>
  </si>
  <si>
    <t>CEFTRIAXONA 01 GR IV</t>
  </si>
  <si>
    <t>BOLSA</t>
  </si>
  <si>
    <t>CIPROFLOXACINO 200 MG 100 ML</t>
  </si>
  <si>
    <t>CIPROFLOXACINO 400 MG 100 ML</t>
  </si>
  <si>
    <t>CLINDAMICINA 600 MG 04 ML</t>
  </si>
  <si>
    <t>GENTAMICINA 20 MG 01 ML</t>
  </si>
  <si>
    <t>GENTAMICINA 40 MG 01 ML</t>
  </si>
  <si>
    <t>GENTAMICINA 60 MG 01 ML</t>
  </si>
  <si>
    <t>GENTAMICINA 80 MG 01 ML</t>
  </si>
  <si>
    <t>IMIPENEM CILASTATINA</t>
  </si>
  <si>
    <t>LEVOFLOXACINO 05 MG / ML 100 ML</t>
  </si>
  <si>
    <t>MEROPENEM 01 GR</t>
  </si>
  <si>
    <t>MEROPENEM 500mg</t>
  </si>
  <si>
    <t>METRONIDAZOL 500 MG / 100 ML</t>
  </si>
  <si>
    <t>OXACILINA 500 MG</t>
  </si>
  <si>
    <t>PEN. BENZATINA 1.200.000 UI</t>
  </si>
  <si>
    <t>PEN. BENZATINA 600.000 UI</t>
  </si>
  <si>
    <t>PEN. CRISTALINA 5.000.000 UI</t>
  </si>
  <si>
    <t>PEN. PROCAINA 400.000 UI</t>
  </si>
  <si>
    <t>PIPERACILINA TAZOBACTAM 4 GR 0,5 GR</t>
  </si>
  <si>
    <t>VANCOMICINA 500 MG</t>
  </si>
  <si>
    <t>BIOCHIMICO</t>
  </si>
  <si>
    <t>ABL</t>
  </si>
  <si>
    <t>ÁGUA PARA INJEÇÃO 10 ML</t>
  </si>
  <si>
    <t>ÁGUA PARA INJEÇÃO 500 ML</t>
  </si>
  <si>
    <t>UNIDADES</t>
  </si>
  <si>
    <t>SORO FISIOLOGICO 0,9 10 ML</t>
  </si>
  <si>
    <t>SORO FISIOLOGICO 0,9 100 ML</t>
  </si>
  <si>
    <t>SORO FISIOLOGICO 0,9 250 ML</t>
  </si>
  <si>
    <t>SORO FISIOLOGICO 0,9 500 ML</t>
  </si>
  <si>
    <t>SORO GLICOFISIOLOGICO 500 ML</t>
  </si>
  <si>
    <t>SORO GLICOSADO 5 100 ML</t>
  </si>
  <si>
    <t>SORO GLICOSADO 5 250 ML</t>
  </si>
  <si>
    <t>SORO GLICOSADO 5 500 ML</t>
  </si>
  <si>
    <t>SORO RINGER COM LACTATO 500 ML</t>
  </si>
  <si>
    <t>SORO RINGER SIMPLES 500 ML</t>
  </si>
  <si>
    <t>BUTILBROMETO DE ESCOPOLAMINA DIPIRONA 4 MG 500 MG / ML 05 ML</t>
  </si>
  <si>
    <t>CETOPROFENO 01 GR IV</t>
  </si>
  <si>
    <t>DEXAMETASONA 02 MG 01 ML</t>
  </si>
  <si>
    <t>DEXAMETASONA 04 MG 2,5 ML</t>
  </si>
  <si>
    <t>DICLOFENACO 25 MG / ML 03 ML</t>
  </si>
  <si>
    <t>DIPIRONA 500 MG / ML 02 ML</t>
  </si>
  <si>
    <t>HIDROCORTISONA 100 MG</t>
  </si>
  <si>
    <t>HIDROCORTISONA 500 MG</t>
  </si>
  <si>
    <t>TENOXICAM 20 MG</t>
  </si>
  <si>
    <t>TENOXICAM 40 MG</t>
  </si>
  <si>
    <t>HYPOLABOR</t>
  </si>
  <si>
    <t>VALOR TOTAL</t>
  </si>
  <si>
    <t>LOTE VII – OUTROS INJETÁVEIS</t>
  </si>
  <si>
    <t>LOTE IX – INJETÁVEIS III</t>
  </si>
  <si>
    <t>CEFTRIAXONA 500 MG IM.</t>
  </si>
  <si>
    <t>CIMETIDINA INJ.</t>
  </si>
  <si>
    <t>SULFATO DE MAGNESIO 50% 10 ML</t>
  </si>
  <si>
    <t>ENEMA LAXANTE 130ML</t>
  </si>
  <si>
    <t>TUBO</t>
  </si>
  <si>
    <t>GLICONATO DE CÁLCIO 10%</t>
  </si>
  <si>
    <t xml:space="preserve">                    EXU, 26 DE NOVEMBRO DE 2025</t>
  </si>
  <si>
    <t>CETOPROFENO 01 GR IM (anti-inflamatorio)</t>
  </si>
  <si>
    <t>LOTE VIII – INJETÁVEIS II (antibióticos)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</si>
</sst>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8" fontId="2" fillId="0" borderId="1" xfId="0" applyNumberFormat="1" applyFont="1" applyBorder="1" applyAlignment="1">
      <alignment horizontal="right" vertical="center"/>
    </xf>
    <xf numFmtId="8" fontId="2" fillId="0" borderId="1" xfId="0" applyNumberFormat="1" applyFont="1" applyBorder="1" applyAlignment="1">
      <alignment horizontal="right" vertical="center"/>
    </xf>
    <xf numFmtId="8" fontId="2" fillId="0" borderId="3" xfId="0" applyNumberFormat="1" applyFont="1" applyFill="1" applyBorder="1" applyAlignment="1">
      <alignment horizontal="right" vertical="center"/>
    </xf>
    <xf numFmtId="8" fontId="2" fillId="0" borderId="2" xfId="0" applyNumberFormat="1" applyFont="1" applyBorder="1" applyAlignment="1">
      <alignment horizontal="right" vertical="center"/>
    </xf>
    <xf numFmtId="8" fontId="2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8" fontId="2" fillId="0" borderId="2" xfId="0" applyNumberFormat="1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/>
    </xf>
    <xf numFmtId="8" fontId="1" fillId="0" borderId="1" xfId="0" applyNumberFormat="1" applyFont="1" applyBorder="1" applyAlignment="1">
      <alignment horizontal="right" vertical="center"/>
    </xf>
    <xf numFmtId="0" fontId="0" fillId="2" borderId="0" xfId="0" applyFill="1"/>
    <xf numFmtId="0" fontId="0" fillId="0" borderId="0" xfId="0" applyAlignment="1">
      <alignment vertical="center"/>
    </xf>
    <xf numFmtId="164" fontId="4" fillId="0" borderId="1" xfId="0" applyNumberFormat="1" applyFont="1" applyBorder="1"/>
    <xf numFmtId="8" fontId="2" fillId="0" borderId="1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8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132520</xdr:colOff>
      <xdr:row>0</xdr:row>
      <xdr:rowOff>52965</xdr:rowOff>
    </xdr:from>
    <xdr:to>
      <xdr:col>2</xdr:col>
      <xdr:colOff>1002194</xdr:colOff>
      <xdr:row>0</xdr:row>
      <xdr:rowOff>561769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16" y="52965"/>
          <a:ext cx="1490869" cy="508804"/>
        </a:xfrm>
        <a:prstGeom prst="rect">
          <a:avLst/>
        </a:prstGeom>
      </xdr:spPr>
    </xdr:pic>
    <xdr:clientData/>
  </xdr:twoCellAnchor>
  <xdr:twoCellAnchor>
    <xdr:from>
      <xdr:col>4</xdr:col>
      <xdr:colOff>140804</xdr:colOff>
      <xdr:row>0</xdr:row>
      <xdr:rowOff>33131</xdr:rowOff>
    </xdr:from>
    <xdr:to>
      <xdr:col>5</xdr:col>
      <xdr:colOff>538369</xdr:colOff>
      <xdr:row>0</xdr:row>
      <xdr:rowOff>519986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6717" y="33131"/>
          <a:ext cx="1490869" cy="486855"/>
        </a:xfrm>
        <a:prstGeom prst="rect">
          <a:avLst/>
        </a:prstGeom>
      </xdr:spPr>
    </xdr:pic>
    <xdr:clientData/>
  </xdr:twoCellAnchor>
  <xdr:twoCellAnchor>
    <xdr:from>
      <xdr:col>1</xdr:col>
      <xdr:colOff>132520</xdr:colOff>
      <xdr:row>19</xdr:row>
      <xdr:rowOff>52965</xdr:rowOff>
    </xdr:from>
    <xdr:to>
      <xdr:col>2</xdr:col>
      <xdr:colOff>1002194</xdr:colOff>
      <xdr:row>19</xdr:row>
      <xdr:rowOff>561769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16" y="52965"/>
          <a:ext cx="1490869" cy="508804"/>
        </a:xfrm>
        <a:prstGeom prst="rect">
          <a:avLst/>
        </a:prstGeom>
      </xdr:spPr>
    </xdr:pic>
    <xdr:clientData/>
  </xdr:twoCellAnchor>
  <xdr:twoCellAnchor>
    <xdr:from>
      <xdr:col>4</xdr:col>
      <xdr:colOff>140804</xdr:colOff>
      <xdr:row>19</xdr:row>
      <xdr:rowOff>33131</xdr:rowOff>
    </xdr:from>
    <xdr:to>
      <xdr:col>5</xdr:col>
      <xdr:colOff>538369</xdr:colOff>
      <xdr:row>19</xdr:row>
      <xdr:rowOff>519986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6717" y="33131"/>
          <a:ext cx="1490869" cy="486855"/>
        </a:xfrm>
        <a:prstGeom prst="rect">
          <a:avLst/>
        </a:prstGeom>
      </xdr:spPr>
    </xdr:pic>
    <xdr:clientData/>
  </xdr:twoCellAnchor>
  <xdr:twoCellAnchor>
    <xdr:from>
      <xdr:col>1</xdr:col>
      <xdr:colOff>132520</xdr:colOff>
      <xdr:row>36</xdr:row>
      <xdr:rowOff>52965</xdr:rowOff>
    </xdr:from>
    <xdr:to>
      <xdr:col>2</xdr:col>
      <xdr:colOff>1002194</xdr:colOff>
      <xdr:row>36</xdr:row>
      <xdr:rowOff>561769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16" y="52965"/>
          <a:ext cx="1490869" cy="508804"/>
        </a:xfrm>
        <a:prstGeom prst="rect">
          <a:avLst/>
        </a:prstGeom>
      </xdr:spPr>
    </xdr:pic>
    <xdr:clientData/>
  </xdr:twoCellAnchor>
  <xdr:twoCellAnchor>
    <xdr:from>
      <xdr:col>4</xdr:col>
      <xdr:colOff>140804</xdr:colOff>
      <xdr:row>36</xdr:row>
      <xdr:rowOff>33131</xdr:rowOff>
    </xdr:from>
    <xdr:to>
      <xdr:col>5</xdr:col>
      <xdr:colOff>538369</xdr:colOff>
      <xdr:row>36</xdr:row>
      <xdr:rowOff>519986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6717" y="33131"/>
          <a:ext cx="1490869" cy="486855"/>
        </a:xfrm>
        <a:prstGeom prst="rect">
          <a:avLst/>
        </a:prstGeom>
      </xdr:spPr>
    </xdr:pic>
    <xdr:clientData/>
  </xdr:twoCellAnchor>
  <xdr:twoCellAnchor>
    <xdr:from>
      <xdr:col>1</xdr:col>
      <xdr:colOff>132520</xdr:colOff>
      <xdr:row>81</xdr:row>
      <xdr:rowOff>52965</xdr:rowOff>
    </xdr:from>
    <xdr:to>
      <xdr:col>2</xdr:col>
      <xdr:colOff>1002194</xdr:colOff>
      <xdr:row>81</xdr:row>
      <xdr:rowOff>561769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16" y="52965"/>
          <a:ext cx="1490869" cy="508804"/>
        </a:xfrm>
        <a:prstGeom prst="rect">
          <a:avLst/>
        </a:prstGeom>
      </xdr:spPr>
    </xdr:pic>
    <xdr:clientData/>
  </xdr:twoCellAnchor>
  <xdr:twoCellAnchor>
    <xdr:from>
      <xdr:col>4</xdr:col>
      <xdr:colOff>140804</xdr:colOff>
      <xdr:row>81</xdr:row>
      <xdr:rowOff>33131</xdr:rowOff>
    </xdr:from>
    <xdr:to>
      <xdr:col>5</xdr:col>
      <xdr:colOff>538369</xdr:colOff>
      <xdr:row>81</xdr:row>
      <xdr:rowOff>519986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6717" y="33131"/>
          <a:ext cx="1490869" cy="486855"/>
        </a:xfrm>
        <a:prstGeom prst="rect">
          <a:avLst/>
        </a:prstGeom>
      </xdr:spPr>
    </xdr:pic>
    <xdr:clientData/>
  </xdr:twoCellAnchor>
  <xdr:twoCellAnchor>
    <xdr:from>
      <xdr:col>1</xdr:col>
      <xdr:colOff>132520</xdr:colOff>
      <xdr:row>111</xdr:row>
      <xdr:rowOff>52965</xdr:rowOff>
    </xdr:from>
    <xdr:to>
      <xdr:col>2</xdr:col>
      <xdr:colOff>1002194</xdr:colOff>
      <xdr:row>111</xdr:row>
      <xdr:rowOff>561769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16" y="52965"/>
          <a:ext cx="1490869" cy="508804"/>
        </a:xfrm>
        <a:prstGeom prst="rect">
          <a:avLst/>
        </a:prstGeom>
      </xdr:spPr>
    </xdr:pic>
    <xdr:clientData/>
  </xdr:twoCellAnchor>
  <xdr:twoCellAnchor>
    <xdr:from>
      <xdr:col>4</xdr:col>
      <xdr:colOff>140804</xdr:colOff>
      <xdr:row>111</xdr:row>
      <xdr:rowOff>33131</xdr:rowOff>
    </xdr:from>
    <xdr:to>
      <xdr:col>5</xdr:col>
      <xdr:colOff>538369</xdr:colOff>
      <xdr:row>111</xdr:row>
      <xdr:rowOff>519986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6717" y="33131"/>
          <a:ext cx="1490869" cy="486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42"/>
  <sheetViews>
    <sheetView tabSelected="1" topLeftCell="A2" zoomScale="115" zoomScaleNormal="115" zoomScalePageLayoutView="85" workbookViewId="0">
      <selection activeCell="B142" sqref="B142"/>
    </sheetView>
  </sheetViews>
  <sheetFormatPr defaultRowHeight="15" x14ac:dyDescent="0.25"/>
  <cols>
    <col min="1" max="1" width="9.28515625" style="15" bestFit="1" customWidth="1"/>
    <col min="2" max="2" width="9.28515625" bestFit="1" customWidth="1"/>
    <col min="3" max="3" width="17.28515625" style="15" bestFit="1" customWidth="1"/>
    <col min="4" max="4" width="47.5703125" style="24" customWidth="1"/>
    <col min="5" max="5" width="16.42578125" style="15" customWidth="1"/>
    <col min="6" max="6" width="10.5703125" style="21" bestFit="1" customWidth="1"/>
    <col min="7" max="7" width="13.42578125" style="13" bestFit="1" customWidth="1"/>
  </cols>
  <sheetData>
    <row r="1" spans="1:7" ht="45" customHeight="1" x14ac:dyDescent="0.25">
      <c r="A1" s="32"/>
      <c r="B1" s="40"/>
      <c r="C1" s="40"/>
      <c r="D1" s="34" t="s">
        <v>164</v>
      </c>
      <c r="E1" s="40"/>
      <c r="F1" s="40"/>
      <c r="G1" s="32"/>
    </row>
    <row r="2" spans="1:7" ht="20.25" x14ac:dyDescent="0.3">
      <c r="A2" s="43" t="s">
        <v>33</v>
      </c>
      <c r="B2" s="43"/>
      <c r="C2" s="43"/>
      <c r="D2" s="43"/>
      <c r="E2" s="43"/>
      <c r="F2" s="43"/>
      <c r="G2" s="43"/>
    </row>
    <row r="3" spans="1:7" s="22" customFormat="1" ht="15.75" x14ac:dyDescent="0.25">
      <c r="A3" s="1" t="s">
        <v>0</v>
      </c>
      <c r="B3" s="1" t="s">
        <v>7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5.75" x14ac:dyDescent="0.25">
      <c r="A4" s="3">
        <v>1</v>
      </c>
      <c r="B4" s="35">
        <v>0</v>
      </c>
      <c r="C4" s="3" t="s">
        <v>23</v>
      </c>
      <c r="D4" s="2" t="s">
        <v>8</v>
      </c>
      <c r="E4" s="3" t="s">
        <v>26</v>
      </c>
      <c r="F4" s="16">
        <v>0.04</v>
      </c>
      <c r="G4" s="12">
        <f>B4*F4</f>
        <v>0</v>
      </c>
    </row>
    <row r="5" spans="1:7" ht="15.75" x14ac:dyDescent="0.25">
      <c r="A5" s="3">
        <v>2</v>
      </c>
      <c r="B5" s="35">
        <v>0</v>
      </c>
      <c r="C5" s="3" t="s">
        <v>23</v>
      </c>
      <c r="D5" s="2" t="s">
        <v>9</v>
      </c>
      <c r="E5" s="3" t="s">
        <v>27</v>
      </c>
      <c r="F5" s="16">
        <v>0.25</v>
      </c>
      <c r="G5" s="12">
        <f t="shared" ref="G5:G18" si="0">B5*F5</f>
        <v>0</v>
      </c>
    </row>
    <row r="6" spans="1:7" ht="15.75" x14ac:dyDescent="0.25">
      <c r="A6" s="3">
        <v>3</v>
      </c>
      <c r="B6" s="35">
        <v>0</v>
      </c>
      <c r="C6" s="3" t="s">
        <v>23</v>
      </c>
      <c r="D6" s="2" t="s">
        <v>10</v>
      </c>
      <c r="E6" s="3" t="s">
        <v>28</v>
      </c>
      <c r="F6" s="16">
        <v>0.19</v>
      </c>
      <c r="G6" s="12">
        <f t="shared" si="0"/>
        <v>0</v>
      </c>
    </row>
    <row r="7" spans="1:7" ht="15.75" x14ac:dyDescent="0.25">
      <c r="A7" s="3">
        <v>4</v>
      </c>
      <c r="B7" s="35">
        <v>0</v>
      </c>
      <c r="C7" s="3" t="s">
        <v>23</v>
      </c>
      <c r="D7" s="2" t="s">
        <v>11</v>
      </c>
      <c r="E7" s="3" t="s">
        <v>29</v>
      </c>
      <c r="F7" s="16">
        <v>0.12</v>
      </c>
      <c r="G7" s="12">
        <f t="shared" si="0"/>
        <v>0</v>
      </c>
    </row>
    <row r="8" spans="1:7" ht="15.75" x14ac:dyDescent="0.25">
      <c r="A8" s="3">
        <v>5</v>
      </c>
      <c r="B8" s="35">
        <v>0</v>
      </c>
      <c r="C8" s="3" t="s">
        <v>23</v>
      </c>
      <c r="D8" s="2" t="s">
        <v>12</v>
      </c>
      <c r="E8" s="3" t="s">
        <v>27</v>
      </c>
      <c r="F8" s="16">
        <v>1.1599999999999999</v>
      </c>
      <c r="G8" s="12">
        <f t="shared" si="0"/>
        <v>0</v>
      </c>
    </row>
    <row r="9" spans="1:7" ht="15.75" x14ac:dyDescent="0.25">
      <c r="A9" s="3">
        <v>6</v>
      </c>
      <c r="B9" s="35">
        <v>0</v>
      </c>
      <c r="C9" s="3" t="s">
        <v>23</v>
      </c>
      <c r="D9" s="2" t="s">
        <v>13</v>
      </c>
      <c r="E9" s="3" t="s">
        <v>28</v>
      </c>
      <c r="F9" s="16">
        <v>1.74</v>
      </c>
      <c r="G9" s="12">
        <f t="shared" si="0"/>
        <v>0</v>
      </c>
    </row>
    <row r="10" spans="1:7" ht="15.75" x14ac:dyDescent="0.25">
      <c r="A10" s="3">
        <v>7</v>
      </c>
      <c r="B10" s="35">
        <v>0</v>
      </c>
      <c r="C10" s="3" t="s">
        <v>23</v>
      </c>
      <c r="D10" s="2" t="s">
        <v>14</v>
      </c>
      <c r="E10" s="3" t="s">
        <v>28</v>
      </c>
      <c r="F10" s="16">
        <v>0.12</v>
      </c>
      <c r="G10" s="12">
        <f t="shared" si="0"/>
        <v>0</v>
      </c>
    </row>
    <row r="11" spans="1:7" ht="15.75" x14ac:dyDescent="0.25">
      <c r="A11" s="3">
        <v>8</v>
      </c>
      <c r="B11" s="35">
        <v>0</v>
      </c>
      <c r="C11" s="3" t="s">
        <v>23</v>
      </c>
      <c r="D11" s="2" t="s">
        <v>15</v>
      </c>
      <c r="E11" s="3" t="s">
        <v>27</v>
      </c>
      <c r="F11" s="16">
        <v>0.24</v>
      </c>
      <c r="G11" s="12">
        <f t="shared" si="0"/>
        <v>0</v>
      </c>
    </row>
    <row r="12" spans="1:7" ht="15.75" x14ac:dyDescent="0.25">
      <c r="A12" s="3">
        <v>9</v>
      </c>
      <c r="B12" s="35">
        <v>0</v>
      </c>
      <c r="C12" s="3" t="s">
        <v>24</v>
      </c>
      <c r="D12" s="2" t="s">
        <v>16</v>
      </c>
      <c r="E12" s="3" t="s">
        <v>29</v>
      </c>
      <c r="F12" s="16">
        <v>0.08</v>
      </c>
      <c r="G12" s="12">
        <f t="shared" si="0"/>
        <v>0</v>
      </c>
    </row>
    <row r="13" spans="1:7" ht="15.75" x14ac:dyDescent="0.25">
      <c r="A13" s="3">
        <v>10</v>
      </c>
      <c r="B13" s="35">
        <v>0</v>
      </c>
      <c r="C13" s="3" t="s">
        <v>25</v>
      </c>
      <c r="D13" s="2" t="s">
        <v>17</v>
      </c>
      <c r="E13" s="3" t="s">
        <v>27</v>
      </c>
      <c r="F13" s="16">
        <v>23.66</v>
      </c>
      <c r="G13" s="12">
        <f t="shared" si="0"/>
        <v>0</v>
      </c>
    </row>
    <row r="14" spans="1:7" ht="15.75" x14ac:dyDescent="0.25">
      <c r="A14" s="3">
        <v>11</v>
      </c>
      <c r="B14" s="35">
        <v>0</v>
      </c>
      <c r="C14" s="3" t="s">
        <v>23</v>
      </c>
      <c r="D14" s="2" t="s">
        <v>18</v>
      </c>
      <c r="E14" s="3" t="s">
        <v>28</v>
      </c>
      <c r="F14" s="16">
        <v>0.54</v>
      </c>
      <c r="G14" s="12">
        <f t="shared" si="0"/>
        <v>0</v>
      </c>
    </row>
    <row r="15" spans="1:7" ht="15.75" x14ac:dyDescent="0.25">
      <c r="A15" s="3">
        <v>12</v>
      </c>
      <c r="B15" s="35">
        <v>0</v>
      </c>
      <c r="C15" s="3" t="s">
        <v>23</v>
      </c>
      <c r="D15" s="2" t="s">
        <v>19</v>
      </c>
      <c r="E15" s="3" t="s">
        <v>30</v>
      </c>
      <c r="F15" s="16">
        <v>0.2</v>
      </c>
      <c r="G15" s="12">
        <f t="shared" si="0"/>
        <v>0</v>
      </c>
    </row>
    <row r="16" spans="1:7" ht="15.75" x14ac:dyDescent="0.25">
      <c r="A16" s="3">
        <v>13</v>
      </c>
      <c r="B16" s="35">
        <v>0</v>
      </c>
      <c r="C16" s="3" t="s">
        <v>23</v>
      </c>
      <c r="D16" s="2" t="s">
        <v>20</v>
      </c>
      <c r="E16" s="3" t="s">
        <v>31</v>
      </c>
      <c r="F16" s="16">
        <v>1.03</v>
      </c>
      <c r="G16" s="12">
        <f t="shared" si="0"/>
        <v>0</v>
      </c>
    </row>
    <row r="17" spans="1:7" ht="15.75" x14ac:dyDescent="0.25">
      <c r="A17" s="10">
        <v>14</v>
      </c>
      <c r="B17" s="35">
        <v>0</v>
      </c>
      <c r="C17" s="10" t="s">
        <v>23</v>
      </c>
      <c r="D17" s="2" t="s">
        <v>21</v>
      </c>
      <c r="E17" s="10" t="s">
        <v>29</v>
      </c>
      <c r="F17" s="17">
        <v>0.11</v>
      </c>
      <c r="G17" s="12">
        <f t="shared" si="0"/>
        <v>0</v>
      </c>
    </row>
    <row r="18" spans="1:7" ht="15.75" x14ac:dyDescent="0.25">
      <c r="A18" s="10">
        <v>15</v>
      </c>
      <c r="B18" s="35">
        <v>0</v>
      </c>
      <c r="C18" s="10" t="s">
        <v>23</v>
      </c>
      <c r="D18" s="2" t="s">
        <v>22</v>
      </c>
      <c r="E18" s="10" t="s">
        <v>32</v>
      </c>
      <c r="F18" s="17">
        <v>0.44</v>
      </c>
      <c r="G18" s="12">
        <f t="shared" si="0"/>
        <v>0</v>
      </c>
    </row>
    <row r="19" spans="1:7" ht="15.75" x14ac:dyDescent="0.25">
      <c r="A19" s="41" t="s">
        <v>155</v>
      </c>
      <c r="B19" s="41"/>
      <c r="C19" s="41"/>
      <c r="D19" s="41"/>
      <c r="E19" s="41"/>
      <c r="F19" s="41"/>
      <c r="G19" s="26">
        <f>SUM(G4:G18)</f>
        <v>0</v>
      </c>
    </row>
    <row r="20" spans="1:7" ht="45" customHeight="1" x14ac:dyDescent="0.25">
      <c r="A20" s="32"/>
      <c r="B20" s="40"/>
      <c r="C20" s="40"/>
      <c r="E20" s="40"/>
      <c r="F20" s="40"/>
      <c r="G20" s="32"/>
    </row>
    <row r="21" spans="1:7" ht="20.25" x14ac:dyDescent="0.3">
      <c r="A21" s="43" t="s">
        <v>34</v>
      </c>
      <c r="B21" s="43"/>
      <c r="C21" s="43"/>
      <c r="D21" s="43"/>
      <c r="E21" s="43"/>
      <c r="F21" s="43"/>
      <c r="G21" s="43"/>
    </row>
    <row r="22" spans="1:7" s="22" customFormat="1" ht="15.75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</row>
    <row r="23" spans="1:7" ht="15.75" x14ac:dyDescent="0.25">
      <c r="A23" s="3">
        <v>1</v>
      </c>
      <c r="B23" s="33">
        <v>0</v>
      </c>
      <c r="C23" s="3" t="s">
        <v>35</v>
      </c>
      <c r="D23" s="2" t="s">
        <v>36</v>
      </c>
      <c r="E23" s="3" t="s">
        <v>26</v>
      </c>
      <c r="F23" s="16">
        <v>6.25</v>
      </c>
      <c r="G23" s="16">
        <f>B23*F23</f>
        <v>0</v>
      </c>
    </row>
    <row r="24" spans="1:7" x14ac:dyDescent="0.25">
      <c r="A24" s="44">
        <v>2</v>
      </c>
      <c r="B24" s="44">
        <v>0</v>
      </c>
      <c r="C24" s="44" t="s">
        <v>35</v>
      </c>
      <c r="D24" s="46" t="s">
        <v>51</v>
      </c>
      <c r="E24" s="44" t="s">
        <v>37</v>
      </c>
      <c r="F24" s="45">
        <v>12.97</v>
      </c>
      <c r="G24" s="45">
        <f>B24*F24</f>
        <v>0</v>
      </c>
    </row>
    <row r="25" spans="1:7" x14ac:dyDescent="0.25">
      <c r="A25" s="44"/>
      <c r="B25" s="44"/>
      <c r="C25" s="44"/>
      <c r="D25" s="46"/>
      <c r="E25" s="44"/>
      <c r="F25" s="45"/>
      <c r="G25" s="45"/>
    </row>
    <row r="26" spans="1:7" ht="15.75" x14ac:dyDescent="0.25">
      <c r="A26" s="3">
        <v>3</v>
      </c>
      <c r="B26" s="4">
        <v>0</v>
      </c>
      <c r="C26" s="3" t="s">
        <v>23</v>
      </c>
      <c r="D26" s="2" t="s">
        <v>38</v>
      </c>
      <c r="E26" s="3" t="s">
        <v>28</v>
      </c>
      <c r="F26" s="16">
        <v>0.08</v>
      </c>
      <c r="G26" s="16">
        <f>B26*F26</f>
        <v>0</v>
      </c>
    </row>
    <row r="27" spans="1:7" ht="15.75" x14ac:dyDescent="0.25">
      <c r="A27" s="3">
        <v>4</v>
      </c>
      <c r="B27" s="4">
        <v>0</v>
      </c>
      <c r="C27" s="3" t="s">
        <v>23</v>
      </c>
      <c r="D27" s="2" t="s">
        <v>39</v>
      </c>
      <c r="E27" s="3" t="s">
        <v>28</v>
      </c>
      <c r="F27" s="16">
        <v>0.11</v>
      </c>
      <c r="G27" s="16">
        <f t="shared" ref="G27:G35" si="1">B27*F27</f>
        <v>0</v>
      </c>
    </row>
    <row r="28" spans="1:7" ht="15.75" x14ac:dyDescent="0.25">
      <c r="A28" s="3">
        <v>5</v>
      </c>
      <c r="B28" s="4">
        <v>0</v>
      </c>
      <c r="C28" s="3" t="s">
        <v>23</v>
      </c>
      <c r="D28" s="2" t="s">
        <v>40</v>
      </c>
      <c r="E28" s="3" t="s">
        <v>41</v>
      </c>
      <c r="F28" s="16">
        <v>0.16</v>
      </c>
      <c r="G28" s="16">
        <f t="shared" si="1"/>
        <v>0</v>
      </c>
    </row>
    <row r="29" spans="1:7" ht="15.75" x14ac:dyDescent="0.25">
      <c r="A29" s="3">
        <v>6</v>
      </c>
      <c r="B29" s="4">
        <v>0</v>
      </c>
      <c r="C29" s="3" t="s">
        <v>25</v>
      </c>
      <c r="D29" s="2" t="s">
        <v>42</v>
      </c>
      <c r="E29" s="3" t="s">
        <v>29</v>
      </c>
      <c r="F29" s="16">
        <v>7.88</v>
      </c>
      <c r="G29" s="16">
        <f t="shared" si="1"/>
        <v>0</v>
      </c>
    </row>
    <row r="30" spans="1:7" ht="15.75" x14ac:dyDescent="0.25">
      <c r="A30" s="3">
        <v>7</v>
      </c>
      <c r="B30" s="4">
        <v>0</v>
      </c>
      <c r="C30" s="3" t="s">
        <v>23</v>
      </c>
      <c r="D30" s="2" t="s">
        <v>43</v>
      </c>
      <c r="E30" s="3" t="s">
        <v>37</v>
      </c>
      <c r="F30" s="16">
        <v>0.33</v>
      </c>
      <c r="G30" s="16">
        <f t="shared" si="1"/>
        <v>0</v>
      </c>
    </row>
    <row r="31" spans="1:7" ht="15.75" x14ac:dyDescent="0.25">
      <c r="A31" s="3">
        <v>8</v>
      </c>
      <c r="B31" s="4">
        <v>0</v>
      </c>
      <c r="C31" s="3" t="s">
        <v>23</v>
      </c>
      <c r="D31" s="2" t="s">
        <v>44</v>
      </c>
      <c r="E31" s="3" t="s">
        <v>45</v>
      </c>
      <c r="F31" s="16">
        <v>0.3</v>
      </c>
      <c r="G31" s="16">
        <f t="shared" si="1"/>
        <v>0</v>
      </c>
    </row>
    <row r="32" spans="1:7" ht="15.75" x14ac:dyDescent="0.25">
      <c r="A32" s="3">
        <v>9</v>
      </c>
      <c r="B32" s="4">
        <v>0</v>
      </c>
      <c r="C32" s="3" t="s">
        <v>23</v>
      </c>
      <c r="D32" s="2" t="s">
        <v>46</v>
      </c>
      <c r="E32" s="3" t="s">
        <v>31</v>
      </c>
      <c r="F32" s="16">
        <v>6.14</v>
      </c>
      <c r="G32" s="16">
        <f t="shared" si="1"/>
        <v>0</v>
      </c>
    </row>
    <row r="33" spans="1:7" ht="15.75" x14ac:dyDescent="0.25">
      <c r="A33" s="3">
        <v>10</v>
      </c>
      <c r="B33" s="33">
        <v>0</v>
      </c>
      <c r="C33" s="3" t="s">
        <v>23</v>
      </c>
      <c r="D33" s="2" t="s">
        <v>47</v>
      </c>
      <c r="E33" s="3" t="s">
        <v>31</v>
      </c>
      <c r="F33" s="16">
        <v>16.46</v>
      </c>
      <c r="G33" s="16">
        <f t="shared" si="1"/>
        <v>0</v>
      </c>
    </row>
    <row r="34" spans="1:7" ht="15.75" x14ac:dyDescent="0.25">
      <c r="A34" s="3">
        <v>11</v>
      </c>
      <c r="B34" s="4">
        <v>0</v>
      </c>
      <c r="C34" s="3" t="s">
        <v>23</v>
      </c>
      <c r="D34" s="2" t="s">
        <v>48</v>
      </c>
      <c r="E34" s="3" t="s">
        <v>27</v>
      </c>
      <c r="F34" s="16">
        <v>0.74</v>
      </c>
      <c r="G34" s="16">
        <f t="shared" si="1"/>
        <v>0</v>
      </c>
    </row>
    <row r="35" spans="1:7" ht="15.75" x14ac:dyDescent="0.25">
      <c r="A35" s="3">
        <v>12</v>
      </c>
      <c r="B35" s="4">
        <v>0</v>
      </c>
      <c r="C35" s="3" t="s">
        <v>23</v>
      </c>
      <c r="D35" s="2" t="s">
        <v>49</v>
      </c>
      <c r="E35" s="3" t="s">
        <v>50</v>
      </c>
      <c r="F35" s="16">
        <v>9.9600000000000009</v>
      </c>
      <c r="G35" s="16">
        <f t="shared" si="1"/>
        <v>0</v>
      </c>
    </row>
    <row r="36" spans="1:7" ht="15.75" x14ac:dyDescent="0.25">
      <c r="A36" s="41" t="s">
        <v>155</v>
      </c>
      <c r="B36" s="41"/>
      <c r="C36" s="41"/>
      <c r="D36" s="41"/>
      <c r="E36" s="41"/>
      <c r="F36" s="41"/>
      <c r="G36" s="27">
        <f>SUM(G26:G35,G23:G25)</f>
        <v>0</v>
      </c>
    </row>
    <row r="37" spans="1:7" ht="45" customHeight="1" x14ac:dyDescent="0.25">
      <c r="A37" s="32"/>
      <c r="B37" s="40"/>
      <c r="C37" s="40"/>
      <c r="E37" s="40"/>
      <c r="F37" s="40"/>
      <c r="G37" s="32"/>
    </row>
    <row r="38" spans="1:7" ht="20.25" x14ac:dyDescent="0.3">
      <c r="A38" s="43" t="s">
        <v>156</v>
      </c>
      <c r="B38" s="43"/>
      <c r="C38" s="43"/>
      <c r="D38" s="43"/>
      <c r="E38" s="43"/>
      <c r="F38" s="43"/>
      <c r="G38" s="43"/>
    </row>
    <row r="39" spans="1:7" s="22" customFormat="1" ht="15.75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</row>
    <row r="40" spans="1:7" ht="15.75" x14ac:dyDescent="0.25">
      <c r="A40" s="3">
        <v>1</v>
      </c>
      <c r="B40" s="4">
        <v>0</v>
      </c>
      <c r="C40" s="3" t="s">
        <v>35</v>
      </c>
      <c r="D40" s="2" t="s">
        <v>52</v>
      </c>
      <c r="E40" s="3" t="s">
        <v>53</v>
      </c>
      <c r="F40" s="16">
        <v>0.82</v>
      </c>
      <c r="G40" s="16">
        <f>B40*F40</f>
        <v>0</v>
      </c>
    </row>
    <row r="41" spans="1:7" ht="15" customHeight="1" x14ac:dyDescent="0.25">
      <c r="A41" s="3">
        <v>2</v>
      </c>
      <c r="B41" s="4">
        <v>0</v>
      </c>
      <c r="C41" s="3" t="s">
        <v>35</v>
      </c>
      <c r="D41" s="2" t="s">
        <v>54</v>
      </c>
      <c r="E41" s="3" t="s">
        <v>55</v>
      </c>
      <c r="F41" s="16">
        <v>4.3</v>
      </c>
      <c r="G41" s="16">
        <f t="shared" ref="G41:G49" si="2">B41*F41</f>
        <v>0</v>
      </c>
    </row>
    <row r="42" spans="1:7" ht="15" customHeight="1" x14ac:dyDescent="0.25">
      <c r="A42" s="3">
        <v>3</v>
      </c>
      <c r="B42" s="4">
        <v>0</v>
      </c>
      <c r="C42" s="3" t="s">
        <v>35</v>
      </c>
      <c r="D42" s="2" t="s">
        <v>56</v>
      </c>
      <c r="E42" s="3" t="s">
        <v>57</v>
      </c>
      <c r="F42" s="16">
        <v>1.1499999999999999</v>
      </c>
      <c r="G42" s="16">
        <f t="shared" si="2"/>
        <v>0</v>
      </c>
    </row>
    <row r="43" spans="1:7" ht="15.75" x14ac:dyDescent="0.25">
      <c r="A43" s="3">
        <v>4</v>
      </c>
      <c r="B43" s="33">
        <v>0</v>
      </c>
      <c r="C43" s="3" t="s">
        <v>35</v>
      </c>
      <c r="D43" s="2" t="s">
        <v>58</v>
      </c>
      <c r="E43" s="3" t="s">
        <v>53</v>
      </c>
      <c r="F43" s="16">
        <v>3.49</v>
      </c>
      <c r="G43" s="16">
        <f t="shared" si="2"/>
        <v>0</v>
      </c>
    </row>
    <row r="44" spans="1:7" ht="15.75" x14ac:dyDescent="0.25">
      <c r="A44" s="3">
        <v>5</v>
      </c>
      <c r="B44" s="33">
        <v>0</v>
      </c>
      <c r="C44" s="3" t="s">
        <v>35</v>
      </c>
      <c r="D44" s="2" t="s">
        <v>59</v>
      </c>
      <c r="E44" s="3" t="s">
        <v>55</v>
      </c>
      <c r="F44" s="16">
        <v>2.73</v>
      </c>
      <c r="G44" s="16">
        <f t="shared" si="2"/>
        <v>0</v>
      </c>
    </row>
    <row r="45" spans="1:7" ht="15.75" x14ac:dyDescent="0.25">
      <c r="A45" s="3">
        <v>6</v>
      </c>
      <c r="B45" s="33">
        <v>0</v>
      </c>
      <c r="C45" s="3" t="s">
        <v>35</v>
      </c>
      <c r="D45" s="2" t="s">
        <v>60</v>
      </c>
      <c r="E45" s="3" t="s">
        <v>53</v>
      </c>
      <c r="F45" s="16">
        <v>0.79</v>
      </c>
      <c r="G45" s="16">
        <f t="shared" si="2"/>
        <v>0</v>
      </c>
    </row>
    <row r="46" spans="1:7" ht="15.75" x14ac:dyDescent="0.25">
      <c r="A46" s="3">
        <v>7</v>
      </c>
      <c r="B46" s="33">
        <v>0</v>
      </c>
      <c r="C46" s="3" t="s">
        <v>35</v>
      </c>
      <c r="D46" s="2" t="s">
        <v>61</v>
      </c>
      <c r="E46" s="3" t="s">
        <v>53</v>
      </c>
      <c r="F46" s="16">
        <v>1.04</v>
      </c>
      <c r="G46" s="16">
        <f t="shared" si="2"/>
        <v>0</v>
      </c>
    </row>
    <row r="47" spans="1:7" ht="15.75" x14ac:dyDescent="0.25">
      <c r="A47" s="3">
        <v>8</v>
      </c>
      <c r="B47" s="4">
        <v>0</v>
      </c>
      <c r="C47" s="3" t="s">
        <v>35</v>
      </c>
      <c r="D47" s="2" t="s">
        <v>62</v>
      </c>
      <c r="E47" s="3" t="s">
        <v>63</v>
      </c>
      <c r="F47" s="16">
        <v>1.42</v>
      </c>
      <c r="G47" s="16">
        <f>B47*F47</f>
        <v>0</v>
      </c>
    </row>
    <row r="48" spans="1:7" ht="31.5" x14ac:dyDescent="0.25">
      <c r="A48" s="8">
        <v>9</v>
      </c>
      <c r="B48" s="22">
        <v>0</v>
      </c>
      <c r="C48" s="8" t="s">
        <v>35</v>
      </c>
      <c r="D48" s="9" t="s">
        <v>64</v>
      </c>
      <c r="E48" s="8" t="s">
        <v>53</v>
      </c>
      <c r="F48" s="18">
        <v>1.02</v>
      </c>
      <c r="G48" s="18">
        <f>B48*F48</f>
        <v>0</v>
      </c>
    </row>
    <row r="49" spans="1:7" ht="31.5" customHeight="1" x14ac:dyDescent="0.25">
      <c r="A49" s="14">
        <v>10</v>
      </c>
      <c r="B49" s="14">
        <v>0</v>
      </c>
      <c r="C49" s="14" t="s">
        <v>35</v>
      </c>
      <c r="D49" s="23" t="s">
        <v>101</v>
      </c>
      <c r="E49" s="14" t="s">
        <v>65</v>
      </c>
      <c r="F49" s="25">
        <v>23.94</v>
      </c>
      <c r="G49" s="19">
        <f t="shared" si="2"/>
        <v>0</v>
      </c>
    </row>
    <row r="50" spans="1:7" ht="31.5" customHeight="1" x14ac:dyDescent="0.25">
      <c r="A50" s="6">
        <v>11</v>
      </c>
      <c r="B50" s="6">
        <v>0</v>
      </c>
      <c r="C50" s="6" t="s">
        <v>35</v>
      </c>
      <c r="D50" s="5" t="s">
        <v>100</v>
      </c>
      <c r="E50" s="6" t="s">
        <v>65</v>
      </c>
      <c r="F50" s="20">
        <v>27.38</v>
      </c>
      <c r="G50" s="20">
        <f>B50*F50</f>
        <v>0</v>
      </c>
    </row>
    <row r="51" spans="1:7" ht="15.75" customHeight="1" x14ac:dyDescent="0.25">
      <c r="A51" s="6">
        <v>12</v>
      </c>
      <c r="B51" s="7">
        <v>0</v>
      </c>
      <c r="C51" s="6" t="s">
        <v>35</v>
      </c>
      <c r="D51" s="2" t="s">
        <v>66</v>
      </c>
      <c r="E51" s="6" t="s">
        <v>57</v>
      </c>
      <c r="F51" s="20">
        <v>1.29</v>
      </c>
      <c r="G51" s="20">
        <f>F51*B51</f>
        <v>0</v>
      </c>
    </row>
    <row r="52" spans="1:7" ht="15.75" x14ac:dyDescent="0.25">
      <c r="A52" s="6">
        <v>13</v>
      </c>
      <c r="B52" s="6">
        <v>0</v>
      </c>
      <c r="C52" s="6" t="s">
        <v>35</v>
      </c>
      <c r="D52" s="5" t="s">
        <v>67</v>
      </c>
      <c r="E52" s="6" t="s">
        <v>68</v>
      </c>
      <c r="F52" s="20">
        <v>2.0299999999999998</v>
      </c>
      <c r="G52" s="20">
        <f>F52*B52</f>
        <v>0</v>
      </c>
    </row>
    <row r="53" spans="1:7" ht="15.75" x14ac:dyDescent="0.25">
      <c r="A53" s="6">
        <v>14</v>
      </c>
      <c r="B53" s="6">
        <v>0</v>
      </c>
      <c r="C53" s="6" t="s">
        <v>35</v>
      </c>
      <c r="D53" s="5" t="s">
        <v>69</v>
      </c>
      <c r="E53" s="6" t="s">
        <v>57</v>
      </c>
      <c r="F53" s="20">
        <v>5.36</v>
      </c>
      <c r="G53" s="20">
        <f>F53*B53</f>
        <v>0</v>
      </c>
    </row>
    <row r="54" spans="1:7" ht="15.75" x14ac:dyDescent="0.25">
      <c r="A54" s="6">
        <v>15</v>
      </c>
      <c r="B54" s="6">
        <v>0</v>
      </c>
      <c r="C54" s="6" t="s">
        <v>35</v>
      </c>
      <c r="D54" s="5" t="s">
        <v>70</v>
      </c>
      <c r="E54" s="6" t="s">
        <v>37</v>
      </c>
      <c r="F54" s="20">
        <v>3.1</v>
      </c>
      <c r="G54" s="20">
        <f t="shared" ref="G54:G67" si="3">F54*B54</f>
        <v>0</v>
      </c>
    </row>
    <row r="55" spans="1:7" ht="15.75" x14ac:dyDescent="0.25">
      <c r="A55" s="6">
        <v>16</v>
      </c>
      <c r="B55" s="7">
        <v>0</v>
      </c>
      <c r="C55" s="6" t="s">
        <v>35</v>
      </c>
      <c r="D55" s="5" t="s">
        <v>71</v>
      </c>
      <c r="E55" s="6" t="s">
        <v>65</v>
      </c>
      <c r="F55" s="20">
        <v>14.03</v>
      </c>
      <c r="G55" s="20">
        <f t="shared" si="3"/>
        <v>0</v>
      </c>
    </row>
    <row r="56" spans="1:7" ht="15.75" x14ac:dyDescent="0.25">
      <c r="A56" s="6">
        <v>17</v>
      </c>
      <c r="B56" s="7">
        <v>0</v>
      </c>
      <c r="C56" s="6" t="s">
        <v>35</v>
      </c>
      <c r="D56" s="5" t="s">
        <v>72</v>
      </c>
      <c r="E56" s="6" t="s">
        <v>65</v>
      </c>
      <c r="F56" s="20">
        <v>19.18</v>
      </c>
      <c r="G56" s="20">
        <f t="shared" si="3"/>
        <v>0</v>
      </c>
    </row>
    <row r="57" spans="1:7" ht="15.75" x14ac:dyDescent="0.25">
      <c r="A57" s="6">
        <v>18</v>
      </c>
      <c r="B57" s="6">
        <v>0</v>
      </c>
      <c r="C57" s="6" t="s">
        <v>35</v>
      </c>
      <c r="D57" s="5" t="s">
        <v>73</v>
      </c>
      <c r="E57" s="6" t="s">
        <v>68</v>
      </c>
      <c r="F57" s="20">
        <v>1.62</v>
      </c>
      <c r="G57" s="20">
        <f t="shared" si="3"/>
        <v>0</v>
      </c>
    </row>
    <row r="58" spans="1:7" ht="15.75" x14ac:dyDescent="0.25">
      <c r="A58" s="6">
        <v>19</v>
      </c>
      <c r="B58" s="7">
        <v>0</v>
      </c>
      <c r="C58" s="6" t="s">
        <v>35</v>
      </c>
      <c r="D58" s="5" t="s">
        <v>74</v>
      </c>
      <c r="E58" s="6" t="s">
        <v>57</v>
      </c>
      <c r="F58" s="20">
        <v>2.35</v>
      </c>
      <c r="G58" s="20">
        <f t="shared" si="3"/>
        <v>0</v>
      </c>
    </row>
    <row r="59" spans="1:7" ht="15.75" x14ac:dyDescent="0.25">
      <c r="A59" s="6">
        <v>20</v>
      </c>
      <c r="B59" s="7">
        <v>0</v>
      </c>
      <c r="C59" s="6" t="s">
        <v>35</v>
      </c>
      <c r="D59" s="5" t="s">
        <v>75</v>
      </c>
      <c r="E59" s="6" t="s">
        <v>57</v>
      </c>
      <c r="F59" s="20">
        <v>0.83</v>
      </c>
      <c r="G59" s="20">
        <f t="shared" si="3"/>
        <v>0</v>
      </c>
    </row>
    <row r="60" spans="1:7" ht="15.75" x14ac:dyDescent="0.25">
      <c r="A60" s="6">
        <v>21</v>
      </c>
      <c r="B60" s="7">
        <v>0</v>
      </c>
      <c r="C60" s="6" t="s">
        <v>35</v>
      </c>
      <c r="D60" s="5" t="s">
        <v>76</v>
      </c>
      <c r="E60" s="6" t="s">
        <v>53</v>
      </c>
      <c r="F60" s="20">
        <v>0.55000000000000004</v>
      </c>
      <c r="G60" s="20">
        <f t="shared" si="3"/>
        <v>0</v>
      </c>
    </row>
    <row r="61" spans="1:7" ht="15.75" x14ac:dyDescent="0.25">
      <c r="A61" s="6">
        <v>22</v>
      </c>
      <c r="B61" s="7">
        <v>0</v>
      </c>
      <c r="C61" s="6" t="s">
        <v>77</v>
      </c>
      <c r="D61" s="5" t="s">
        <v>78</v>
      </c>
      <c r="E61" s="6" t="s">
        <v>57</v>
      </c>
      <c r="F61" s="20">
        <v>6.25</v>
      </c>
      <c r="G61" s="20">
        <f t="shared" si="3"/>
        <v>0</v>
      </c>
    </row>
    <row r="62" spans="1:7" ht="15.75" x14ac:dyDescent="0.25">
      <c r="A62" s="6">
        <v>23</v>
      </c>
      <c r="B62" s="7">
        <v>0</v>
      </c>
      <c r="C62" s="6" t="s">
        <v>35</v>
      </c>
      <c r="D62" s="5" t="s">
        <v>79</v>
      </c>
      <c r="E62" s="6" t="s">
        <v>37</v>
      </c>
      <c r="F62" s="20">
        <v>15.89</v>
      </c>
      <c r="G62" s="20">
        <f t="shared" si="3"/>
        <v>0</v>
      </c>
    </row>
    <row r="63" spans="1:7" ht="15.75" x14ac:dyDescent="0.25">
      <c r="A63" s="6">
        <v>24</v>
      </c>
      <c r="B63" s="7">
        <v>0</v>
      </c>
      <c r="C63" s="6" t="s">
        <v>35</v>
      </c>
      <c r="D63" s="5" t="s">
        <v>80</v>
      </c>
      <c r="E63" s="6" t="s">
        <v>37</v>
      </c>
      <c r="F63" s="20">
        <v>6.58</v>
      </c>
      <c r="G63" s="20">
        <f t="shared" si="3"/>
        <v>0</v>
      </c>
    </row>
    <row r="64" spans="1:7" ht="15.75" x14ac:dyDescent="0.25">
      <c r="A64" s="6">
        <v>25</v>
      </c>
      <c r="B64" s="6">
        <v>0</v>
      </c>
      <c r="C64" s="6" t="s">
        <v>35</v>
      </c>
      <c r="D64" s="5" t="s">
        <v>81</v>
      </c>
      <c r="E64" s="6" t="s">
        <v>53</v>
      </c>
      <c r="F64" s="20">
        <v>0.38</v>
      </c>
      <c r="G64" s="20">
        <f t="shared" si="3"/>
        <v>0</v>
      </c>
    </row>
    <row r="65" spans="1:7" ht="15.75" x14ac:dyDescent="0.25">
      <c r="A65" s="6">
        <v>26</v>
      </c>
      <c r="B65" s="7">
        <v>0</v>
      </c>
      <c r="C65" s="6" t="s">
        <v>35</v>
      </c>
      <c r="D65" s="5" t="s">
        <v>82</v>
      </c>
      <c r="E65" s="6" t="s">
        <v>57</v>
      </c>
      <c r="F65" s="20">
        <v>4.82</v>
      </c>
      <c r="G65" s="20">
        <f t="shared" si="3"/>
        <v>0</v>
      </c>
    </row>
    <row r="66" spans="1:7" s="29" customFormat="1" ht="31.5" x14ac:dyDescent="0.25">
      <c r="A66" s="6">
        <v>27</v>
      </c>
      <c r="B66" s="6">
        <v>0</v>
      </c>
      <c r="C66" s="6" t="s">
        <v>35</v>
      </c>
      <c r="D66" s="11" t="s">
        <v>83</v>
      </c>
      <c r="E66" s="6" t="s">
        <v>68</v>
      </c>
      <c r="F66" s="20">
        <v>2.13</v>
      </c>
      <c r="G66" s="20">
        <f t="shared" si="3"/>
        <v>0</v>
      </c>
    </row>
    <row r="67" spans="1:7" ht="15.75" x14ac:dyDescent="0.25">
      <c r="A67" s="6">
        <v>28</v>
      </c>
      <c r="B67" s="6">
        <v>0</v>
      </c>
      <c r="C67" s="6" t="s">
        <v>35</v>
      </c>
      <c r="D67" s="5" t="s">
        <v>84</v>
      </c>
      <c r="E67" s="6" t="s">
        <v>63</v>
      </c>
      <c r="F67" s="20">
        <v>8.4499999999999993</v>
      </c>
      <c r="G67" s="20">
        <f t="shared" si="3"/>
        <v>0</v>
      </c>
    </row>
    <row r="68" spans="1:7" ht="15.75" x14ac:dyDescent="0.25">
      <c r="A68" s="6">
        <v>29</v>
      </c>
      <c r="B68" s="6">
        <v>0</v>
      </c>
      <c r="C68" s="6" t="s">
        <v>35</v>
      </c>
      <c r="D68" s="5" t="s">
        <v>85</v>
      </c>
      <c r="E68" s="6" t="s">
        <v>86</v>
      </c>
      <c r="F68" s="20">
        <v>333.28</v>
      </c>
      <c r="G68" s="20">
        <f>F68*B68</f>
        <v>0</v>
      </c>
    </row>
    <row r="69" spans="1:7" ht="15.75" x14ac:dyDescent="0.25">
      <c r="A69" s="6">
        <v>30</v>
      </c>
      <c r="B69" s="7">
        <v>0</v>
      </c>
      <c r="C69" s="6" t="s">
        <v>35</v>
      </c>
      <c r="D69" s="5" t="s">
        <v>87</v>
      </c>
      <c r="E69" s="6" t="s">
        <v>88</v>
      </c>
      <c r="F69" s="20">
        <v>0.63</v>
      </c>
      <c r="G69" s="20">
        <f>F69*B69</f>
        <v>0</v>
      </c>
    </row>
    <row r="70" spans="1:7" ht="15.75" x14ac:dyDescent="0.25">
      <c r="A70" s="6">
        <v>31</v>
      </c>
      <c r="B70" s="6">
        <v>0</v>
      </c>
      <c r="C70" s="6" t="s">
        <v>35</v>
      </c>
      <c r="D70" s="5" t="s">
        <v>89</v>
      </c>
      <c r="E70" s="6" t="s">
        <v>53</v>
      </c>
      <c r="F70" s="20">
        <v>0.43</v>
      </c>
      <c r="G70" s="20">
        <f t="shared" ref="G70:G76" si="4">F70*B70</f>
        <v>0</v>
      </c>
    </row>
    <row r="71" spans="1:7" ht="15.75" x14ac:dyDescent="0.25">
      <c r="A71" s="6">
        <v>32</v>
      </c>
      <c r="B71" s="6">
        <v>0</v>
      </c>
      <c r="C71" s="6" t="s">
        <v>35</v>
      </c>
      <c r="D71" s="5" t="s">
        <v>90</v>
      </c>
      <c r="E71" s="6" t="s">
        <v>57</v>
      </c>
      <c r="F71" s="20">
        <v>23.74</v>
      </c>
      <c r="G71" s="20">
        <f t="shared" si="4"/>
        <v>0</v>
      </c>
    </row>
    <row r="72" spans="1:7" ht="15.75" x14ac:dyDescent="0.25">
      <c r="A72" s="6">
        <v>33</v>
      </c>
      <c r="B72" s="7">
        <v>0</v>
      </c>
      <c r="C72" s="6" t="s">
        <v>35</v>
      </c>
      <c r="D72" s="5" t="s">
        <v>91</v>
      </c>
      <c r="E72" s="6" t="s">
        <v>57</v>
      </c>
      <c r="F72" s="20">
        <v>1.87</v>
      </c>
      <c r="G72" s="20">
        <f t="shared" si="4"/>
        <v>0</v>
      </c>
    </row>
    <row r="73" spans="1:7" ht="15.75" x14ac:dyDescent="0.25">
      <c r="A73" s="6">
        <v>34</v>
      </c>
      <c r="B73" s="6">
        <v>0</v>
      </c>
      <c r="C73" s="6" t="s">
        <v>35</v>
      </c>
      <c r="D73" s="5" t="s">
        <v>92</v>
      </c>
      <c r="E73" s="6" t="s">
        <v>65</v>
      </c>
      <c r="F73" s="20">
        <v>3.71</v>
      </c>
      <c r="G73" s="20">
        <f t="shared" si="4"/>
        <v>0</v>
      </c>
    </row>
    <row r="74" spans="1:7" ht="15.75" x14ac:dyDescent="0.25">
      <c r="A74" s="6">
        <v>35</v>
      </c>
      <c r="B74" s="7">
        <v>0</v>
      </c>
      <c r="C74" s="6" t="s">
        <v>35</v>
      </c>
      <c r="D74" s="5" t="s">
        <v>93</v>
      </c>
      <c r="E74" s="6" t="s">
        <v>65</v>
      </c>
      <c r="F74" s="20">
        <v>7.93</v>
      </c>
      <c r="G74" s="20">
        <f t="shared" si="4"/>
        <v>0</v>
      </c>
    </row>
    <row r="75" spans="1:7" ht="15.75" x14ac:dyDescent="0.25">
      <c r="A75" s="6">
        <v>36</v>
      </c>
      <c r="B75" s="7">
        <v>0</v>
      </c>
      <c r="C75" s="6" t="s">
        <v>35</v>
      </c>
      <c r="D75" s="5" t="s">
        <v>94</v>
      </c>
      <c r="E75" s="6" t="s">
        <v>57</v>
      </c>
      <c r="F75" s="20">
        <v>1.26</v>
      </c>
      <c r="G75" s="20">
        <f t="shared" si="4"/>
        <v>0</v>
      </c>
    </row>
    <row r="76" spans="1:7" ht="15.75" x14ac:dyDescent="0.25">
      <c r="A76" s="6">
        <v>37</v>
      </c>
      <c r="B76" s="7">
        <v>0</v>
      </c>
      <c r="C76" s="6" t="s">
        <v>35</v>
      </c>
      <c r="D76" s="5" t="s">
        <v>95</v>
      </c>
      <c r="E76" s="6" t="s">
        <v>57</v>
      </c>
      <c r="F76" s="20">
        <v>3.56</v>
      </c>
      <c r="G76" s="20">
        <f t="shared" si="4"/>
        <v>0</v>
      </c>
    </row>
    <row r="77" spans="1:7" ht="15.75" x14ac:dyDescent="0.25">
      <c r="A77" s="6">
        <v>38</v>
      </c>
      <c r="B77" s="7">
        <v>0</v>
      </c>
      <c r="C77" s="6" t="s">
        <v>35</v>
      </c>
      <c r="D77" s="5" t="s">
        <v>96</v>
      </c>
      <c r="E77" s="6" t="s">
        <v>65</v>
      </c>
      <c r="F77" s="20">
        <v>0.21</v>
      </c>
      <c r="G77" s="20">
        <f>F77*B77</f>
        <v>0</v>
      </c>
    </row>
    <row r="78" spans="1:7" ht="15.75" x14ac:dyDescent="0.25">
      <c r="A78" s="6">
        <v>39</v>
      </c>
      <c r="B78" s="6">
        <v>0</v>
      </c>
      <c r="C78" s="6" t="s">
        <v>35</v>
      </c>
      <c r="D78" s="5" t="s">
        <v>97</v>
      </c>
      <c r="E78" s="6" t="s">
        <v>98</v>
      </c>
      <c r="F78" s="20">
        <v>2.62</v>
      </c>
      <c r="G78" s="20">
        <f>F78*B78</f>
        <v>0</v>
      </c>
    </row>
    <row r="79" spans="1:7" ht="15.75" x14ac:dyDescent="0.25">
      <c r="A79" s="6">
        <v>40</v>
      </c>
      <c r="B79" s="7">
        <v>0</v>
      </c>
      <c r="C79" s="6" t="s">
        <v>35</v>
      </c>
      <c r="D79" s="5" t="s">
        <v>99</v>
      </c>
      <c r="E79" s="6" t="s">
        <v>37</v>
      </c>
      <c r="F79" s="20">
        <v>2.9</v>
      </c>
      <c r="G79" s="20">
        <f>F79*B79</f>
        <v>0</v>
      </c>
    </row>
    <row r="80" spans="1:7" ht="15.75" x14ac:dyDescent="0.25">
      <c r="A80" s="6">
        <v>41</v>
      </c>
      <c r="B80" s="6">
        <v>0</v>
      </c>
      <c r="C80" s="6" t="s">
        <v>35</v>
      </c>
      <c r="D80" s="5" t="s">
        <v>160</v>
      </c>
      <c r="E80" s="6" t="s">
        <v>102</v>
      </c>
      <c r="F80" s="20">
        <v>1.1000000000000001</v>
      </c>
      <c r="G80" s="20">
        <f>F80*B80</f>
        <v>0</v>
      </c>
    </row>
    <row r="81" spans="1:7" ht="15.75" x14ac:dyDescent="0.25">
      <c r="A81" s="41" t="s">
        <v>155</v>
      </c>
      <c r="B81" s="41"/>
      <c r="C81" s="41"/>
      <c r="D81" s="41"/>
      <c r="E81" s="41"/>
      <c r="F81" s="41"/>
      <c r="G81" s="27">
        <f>SUM(G40:G80)</f>
        <v>0</v>
      </c>
    </row>
    <row r="82" spans="1:7" ht="45" customHeight="1" x14ac:dyDescent="0.25">
      <c r="A82" s="32"/>
      <c r="B82" s="40"/>
      <c r="C82" s="40"/>
      <c r="E82" s="40"/>
      <c r="F82" s="40"/>
      <c r="G82" s="32"/>
    </row>
    <row r="83" spans="1:7" ht="20.25" x14ac:dyDescent="0.3">
      <c r="A83" s="43" t="s">
        <v>166</v>
      </c>
      <c r="B83" s="43"/>
      <c r="C83" s="43"/>
      <c r="D83" s="43"/>
      <c r="E83" s="43"/>
      <c r="F83" s="43"/>
      <c r="G83" s="43"/>
    </row>
    <row r="84" spans="1:7" s="22" customFormat="1" ht="15.75" x14ac:dyDescent="0.25">
      <c r="A84" s="1" t="s">
        <v>0</v>
      </c>
      <c r="B84" s="1" t="s">
        <v>7</v>
      </c>
      <c r="C84" s="1" t="s">
        <v>2</v>
      </c>
      <c r="D84" s="1" t="s">
        <v>3</v>
      </c>
      <c r="E84" s="1" t="s">
        <v>4</v>
      </c>
      <c r="F84" s="1" t="s">
        <v>5</v>
      </c>
      <c r="G84" s="1" t="s">
        <v>6</v>
      </c>
    </row>
    <row r="85" spans="1:7" ht="15.75" x14ac:dyDescent="0.25">
      <c r="A85" s="3">
        <v>1</v>
      </c>
      <c r="B85" s="35">
        <v>0</v>
      </c>
      <c r="C85" s="6" t="s">
        <v>35</v>
      </c>
      <c r="D85" s="5" t="s">
        <v>103</v>
      </c>
      <c r="E85" s="6" t="s">
        <v>65</v>
      </c>
      <c r="F85" s="20">
        <v>5.07</v>
      </c>
      <c r="G85" s="12">
        <f>B85*F85</f>
        <v>0</v>
      </c>
    </row>
    <row r="86" spans="1:7" ht="15.75" x14ac:dyDescent="0.25">
      <c r="A86" s="3">
        <v>2</v>
      </c>
      <c r="B86" s="35">
        <v>0</v>
      </c>
      <c r="C86" s="6" t="s">
        <v>35</v>
      </c>
      <c r="D86" s="5" t="s">
        <v>104</v>
      </c>
      <c r="E86" s="6" t="s">
        <v>65</v>
      </c>
      <c r="F86" s="20">
        <v>4.3600000000000003</v>
      </c>
      <c r="G86" s="12">
        <f t="shared" ref="G86:G110" si="5">B86*F86</f>
        <v>0</v>
      </c>
    </row>
    <row r="87" spans="1:7" ht="15.75" x14ac:dyDescent="0.25">
      <c r="A87" s="3">
        <v>3</v>
      </c>
      <c r="B87" s="35">
        <v>0</v>
      </c>
      <c r="C87" s="6" t="s">
        <v>35</v>
      </c>
      <c r="D87" s="5" t="s">
        <v>105</v>
      </c>
      <c r="E87" s="6" t="s">
        <v>129</v>
      </c>
      <c r="F87" s="20">
        <v>8.64</v>
      </c>
      <c r="G87" s="12">
        <f t="shared" si="5"/>
        <v>0</v>
      </c>
    </row>
    <row r="88" spans="1:7" ht="15.75" x14ac:dyDescent="0.25">
      <c r="A88" s="3">
        <v>4</v>
      </c>
      <c r="B88" s="35">
        <v>0</v>
      </c>
      <c r="C88" s="6" t="s">
        <v>35</v>
      </c>
      <c r="D88" s="5" t="s">
        <v>106</v>
      </c>
      <c r="E88" s="6" t="s">
        <v>129</v>
      </c>
      <c r="F88" s="20">
        <v>14.27</v>
      </c>
      <c r="G88" s="12">
        <f t="shared" si="5"/>
        <v>0</v>
      </c>
    </row>
    <row r="89" spans="1:7" ht="15.75" x14ac:dyDescent="0.25">
      <c r="A89" s="3">
        <v>5</v>
      </c>
      <c r="B89" s="35">
        <v>0</v>
      </c>
      <c r="C89" s="6" t="s">
        <v>35</v>
      </c>
      <c r="D89" s="5" t="s">
        <v>107</v>
      </c>
      <c r="E89" s="6" t="s">
        <v>130</v>
      </c>
      <c r="F89" s="20">
        <v>4.66</v>
      </c>
      <c r="G89" s="12">
        <f t="shared" si="5"/>
        <v>0</v>
      </c>
    </row>
    <row r="90" spans="1:7" ht="15.75" x14ac:dyDescent="0.25">
      <c r="A90" s="3">
        <v>6</v>
      </c>
      <c r="B90" s="35">
        <v>0</v>
      </c>
      <c r="C90" s="6" t="s">
        <v>35</v>
      </c>
      <c r="D90" s="5" t="s">
        <v>108</v>
      </c>
      <c r="E90" s="6" t="s">
        <v>63</v>
      </c>
      <c r="F90" s="20">
        <v>3.62</v>
      </c>
      <c r="G90" s="12">
        <f t="shared" si="5"/>
        <v>0</v>
      </c>
    </row>
    <row r="91" spans="1:7" ht="15.75" x14ac:dyDescent="0.25">
      <c r="A91" s="3">
        <v>7</v>
      </c>
      <c r="B91" s="35">
        <v>0</v>
      </c>
      <c r="C91" s="6" t="s">
        <v>35</v>
      </c>
      <c r="D91" s="5" t="s">
        <v>165</v>
      </c>
      <c r="E91" s="6" t="s">
        <v>68</v>
      </c>
      <c r="F91" s="20">
        <v>2.31</v>
      </c>
      <c r="G91" s="12">
        <f t="shared" si="5"/>
        <v>0</v>
      </c>
    </row>
    <row r="92" spans="1:7" ht="15.75" x14ac:dyDescent="0.25">
      <c r="A92" s="3">
        <v>9</v>
      </c>
      <c r="B92" s="35">
        <v>0</v>
      </c>
      <c r="C92" s="6" t="s">
        <v>109</v>
      </c>
      <c r="D92" s="5" t="s">
        <v>110</v>
      </c>
      <c r="E92" s="6" t="s">
        <v>63</v>
      </c>
      <c r="F92" s="20">
        <v>9.26</v>
      </c>
      <c r="G92" s="12">
        <f t="shared" si="5"/>
        <v>0</v>
      </c>
    </row>
    <row r="93" spans="1:7" ht="15.75" x14ac:dyDescent="0.25">
      <c r="A93" s="3">
        <v>10</v>
      </c>
      <c r="B93" s="35">
        <v>0</v>
      </c>
      <c r="C93" s="6" t="s">
        <v>109</v>
      </c>
      <c r="D93" s="5" t="s">
        <v>111</v>
      </c>
      <c r="E93" s="6" t="s">
        <v>63</v>
      </c>
      <c r="F93" s="20">
        <v>33.99</v>
      </c>
      <c r="G93" s="12">
        <f t="shared" si="5"/>
        <v>0</v>
      </c>
    </row>
    <row r="94" spans="1:7" ht="15.75" x14ac:dyDescent="0.25">
      <c r="A94" s="3">
        <v>11</v>
      </c>
      <c r="B94" s="35">
        <v>0</v>
      </c>
      <c r="C94" s="6" t="s">
        <v>35</v>
      </c>
      <c r="D94" s="5" t="s">
        <v>112</v>
      </c>
      <c r="E94" s="6" t="s">
        <v>57</v>
      </c>
      <c r="F94" s="20">
        <v>3.02</v>
      </c>
      <c r="G94" s="12">
        <f t="shared" si="5"/>
        <v>0</v>
      </c>
    </row>
    <row r="95" spans="1:7" ht="15.75" x14ac:dyDescent="0.25">
      <c r="A95" s="3">
        <v>12</v>
      </c>
      <c r="B95" s="35">
        <v>0</v>
      </c>
      <c r="C95" s="6" t="s">
        <v>35</v>
      </c>
      <c r="D95" s="5" t="s">
        <v>113</v>
      </c>
      <c r="E95" s="6" t="s">
        <v>63</v>
      </c>
      <c r="F95" s="20">
        <v>1.47</v>
      </c>
      <c r="G95" s="12">
        <f t="shared" si="5"/>
        <v>0</v>
      </c>
    </row>
    <row r="96" spans="1:7" ht="15.75" x14ac:dyDescent="0.25">
      <c r="A96" s="3">
        <v>13</v>
      </c>
      <c r="B96" s="35">
        <v>0</v>
      </c>
      <c r="C96" s="6" t="s">
        <v>35</v>
      </c>
      <c r="D96" s="5" t="s">
        <v>114</v>
      </c>
      <c r="E96" s="6" t="s">
        <v>88</v>
      </c>
      <c r="F96" s="20">
        <v>1.32</v>
      </c>
      <c r="G96" s="12">
        <f t="shared" si="5"/>
        <v>0</v>
      </c>
    </row>
    <row r="97" spans="1:7" ht="15.75" x14ac:dyDescent="0.25">
      <c r="A97" s="3">
        <v>14</v>
      </c>
      <c r="B97" s="35">
        <v>0</v>
      </c>
      <c r="C97" s="6" t="s">
        <v>35</v>
      </c>
      <c r="D97" s="5" t="s">
        <v>115</v>
      </c>
      <c r="E97" s="6" t="s">
        <v>88</v>
      </c>
      <c r="F97" s="20">
        <v>2.2000000000000002</v>
      </c>
      <c r="G97" s="12">
        <f t="shared" si="5"/>
        <v>0</v>
      </c>
    </row>
    <row r="98" spans="1:7" ht="15.75" x14ac:dyDescent="0.25">
      <c r="A98" s="3">
        <v>15</v>
      </c>
      <c r="B98" s="35">
        <v>0</v>
      </c>
      <c r="C98" s="6" t="s">
        <v>35</v>
      </c>
      <c r="D98" s="5" t="s">
        <v>116</v>
      </c>
      <c r="E98" s="6" t="s">
        <v>88</v>
      </c>
      <c r="F98" s="20">
        <v>1.51</v>
      </c>
      <c r="G98" s="12">
        <f t="shared" si="5"/>
        <v>0</v>
      </c>
    </row>
    <row r="99" spans="1:7" ht="15.75" x14ac:dyDescent="0.25">
      <c r="A99" s="3">
        <v>16</v>
      </c>
      <c r="B99" s="35">
        <v>0</v>
      </c>
      <c r="C99" s="6" t="s">
        <v>35</v>
      </c>
      <c r="D99" s="5" t="s">
        <v>117</v>
      </c>
      <c r="E99" s="6" t="s">
        <v>130</v>
      </c>
      <c r="F99" s="20">
        <v>46.04</v>
      </c>
      <c r="G99" s="12">
        <f t="shared" si="5"/>
        <v>0</v>
      </c>
    </row>
    <row r="100" spans="1:7" ht="15.75" x14ac:dyDescent="0.25">
      <c r="A100" s="3">
        <v>17</v>
      </c>
      <c r="B100" s="36">
        <v>0</v>
      </c>
      <c r="C100" s="6" t="s">
        <v>109</v>
      </c>
      <c r="D100" s="5" t="s">
        <v>118</v>
      </c>
      <c r="E100" s="6" t="s">
        <v>102</v>
      </c>
      <c r="F100" s="20">
        <v>9.2100000000000009</v>
      </c>
      <c r="G100" s="12">
        <f t="shared" si="5"/>
        <v>0</v>
      </c>
    </row>
    <row r="101" spans="1:7" ht="15.75" x14ac:dyDescent="0.25">
      <c r="A101" s="3">
        <v>18</v>
      </c>
      <c r="B101" s="36">
        <v>0</v>
      </c>
      <c r="C101" s="6" t="s">
        <v>35</v>
      </c>
      <c r="D101" s="5" t="s">
        <v>119</v>
      </c>
      <c r="E101" s="6" t="s">
        <v>63</v>
      </c>
      <c r="F101" s="20">
        <v>16.97</v>
      </c>
      <c r="G101" s="12">
        <f t="shared" si="5"/>
        <v>0</v>
      </c>
    </row>
    <row r="102" spans="1:7" ht="15.75" x14ac:dyDescent="0.25">
      <c r="A102" s="3">
        <v>19</v>
      </c>
      <c r="B102" s="36">
        <v>0</v>
      </c>
      <c r="C102" s="6" t="s">
        <v>35</v>
      </c>
      <c r="D102" s="5" t="s">
        <v>120</v>
      </c>
      <c r="E102" s="6" t="s">
        <v>130</v>
      </c>
      <c r="F102" s="20">
        <v>14.34</v>
      </c>
      <c r="G102" s="12">
        <f t="shared" si="5"/>
        <v>0</v>
      </c>
    </row>
    <row r="103" spans="1:7" ht="15.75" x14ac:dyDescent="0.25">
      <c r="A103" s="3">
        <v>20</v>
      </c>
      <c r="B103" s="36">
        <v>0</v>
      </c>
      <c r="C103" s="6" t="s">
        <v>109</v>
      </c>
      <c r="D103" s="5" t="s">
        <v>121</v>
      </c>
      <c r="E103" s="6" t="s">
        <v>63</v>
      </c>
      <c r="F103" s="20">
        <v>4.46</v>
      </c>
      <c r="G103" s="12">
        <f t="shared" si="5"/>
        <v>0</v>
      </c>
    </row>
    <row r="104" spans="1:7" ht="15.75" x14ac:dyDescent="0.25">
      <c r="A104" s="3">
        <v>21</v>
      </c>
      <c r="B104" s="36">
        <v>0</v>
      </c>
      <c r="C104" s="6" t="s">
        <v>35</v>
      </c>
      <c r="D104" s="5" t="s">
        <v>122</v>
      </c>
      <c r="E104" s="6" t="s">
        <v>63</v>
      </c>
      <c r="F104" s="20">
        <v>4.09</v>
      </c>
      <c r="G104" s="12">
        <f t="shared" si="5"/>
        <v>0</v>
      </c>
    </row>
    <row r="105" spans="1:7" ht="15.75" x14ac:dyDescent="0.25">
      <c r="A105" s="3">
        <v>22</v>
      </c>
      <c r="B105" s="36">
        <v>0</v>
      </c>
      <c r="C105" s="6" t="s">
        <v>35</v>
      </c>
      <c r="D105" s="5" t="s">
        <v>123</v>
      </c>
      <c r="E105" s="6" t="s">
        <v>26</v>
      </c>
      <c r="F105" s="20">
        <v>6.26</v>
      </c>
      <c r="G105" s="12">
        <f t="shared" si="5"/>
        <v>0</v>
      </c>
    </row>
    <row r="106" spans="1:7" ht="15.75" x14ac:dyDescent="0.25">
      <c r="A106" s="3">
        <v>23</v>
      </c>
      <c r="B106" s="36">
        <v>0</v>
      </c>
      <c r="C106" s="6" t="s">
        <v>35</v>
      </c>
      <c r="D106" s="5" t="s">
        <v>124</v>
      </c>
      <c r="E106" s="6" t="s">
        <v>26</v>
      </c>
      <c r="F106" s="20">
        <v>7.5</v>
      </c>
      <c r="G106" s="12">
        <f t="shared" si="5"/>
        <v>0</v>
      </c>
    </row>
    <row r="107" spans="1:7" ht="15.75" x14ac:dyDescent="0.25">
      <c r="A107" s="3">
        <v>24</v>
      </c>
      <c r="B107" s="36">
        <v>0</v>
      </c>
      <c r="C107" s="6" t="s">
        <v>35</v>
      </c>
      <c r="D107" s="5" t="s">
        <v>125</v>
      </c>
      <c r="E107" s="6" t="s">
        <v>65</v>
      </c>
      <c r="F107" s="20">
        <v>11.58</v>
      </c>
      <c r="G107" s="12">
        <f t="shared" si="5"/>
        <v>0</v>
      </c>
    </row>
    <row r="108" spans="1:7" ht="15.75" x14ac:dyDescent="0.25">
      <c r="A108" s="3">
        <v>25</v>
      </c>
      <c r="B108" s="36">
        <v>0</v>
      </c>
      <c r="C108" s="6" t="s">
        <v>35</v>
      </c>
      <c r="D108" s="5" t="s">
        <v>126</v>
      </c>
      <c r="E108" s="6" t="s">
        <v>65</v>
      </c>
      <c r="F108" s="20">
        <v>6.62</v>
      </c>
      <c r="G108" s="12">
        <f t="shared" si="5"/>
        <v>0</v>
      </c>
    </row>
    <row r="109" spans="1:7" ht="15.75" x14ac:dyDescent="0.25">
      <c r="A109" s="3">
        <v>26</v>
      </c>
      <c r="B109" s="36">
        <v>0</v>
      </c>
      <c r="C109" s="6" t="s">
        <v>35</v>
      </c>
      <c r="D109" s="5" t="s">
        <v>127</v>
      </c>
      <c r="E109" s="6" t="s">
        <v>63</v>
      </c>
      <c r="F109" s="20">
        <v>14.25</v>
      </c>
      <c r="G109" s="12">
        <f t="shared" si="5"/>
        <v>0</v>
      </c>
    </row>
    <row r="110" spans="1:7" ht="15.75" x14ac:dyDescent="0.25">
      <c r="A110" s="3">
        <v>27</v>
      </c>
      <c r="B110" s="36">
        <v>0</v>
      </c>
      <c r="C110" s="6" t="s">
        <v>35</v>
      </c>
      <c r="D110" s="5" t="s">
        <v>128</v>
      </c>
      <c r="E110" s="6" t="s">
        <v>26</v>
      </c>
      <c r="F110" s="20">
        <v>5.25</v>
      </c>
      <c r="G110" s="12">
        <f t="shared" si="5"/>
        <v>0</v>
      </c>
    </row>
    <row r="111" spans="1:7" ht="15.75" x14ac:dyDescent="0.25">
      <c r="A111" s="41" t="s">
        <v>155</v>
      </c>
      <c r="B111" s="41"/>
      <c r="C111" s="41"/>
      <c r="D111" s="41"/>
      <c r="E111" s="41"/>
      <c r="F111" s="41"/>
      <c r="G111" s="26">
        <f>SUM(G85:G110)</f>
        <v>0</v>
      </c>
    </row>
    <row r="112" spans="1:7" ht="45" customHeight="1" x14ac:dyDescent="0.25">
      <c r="A112" s="32"/>
      <c r="B112" s="40"/>
      <c r="C112" s="40"/>
      <c r="E112" s="40"/>
      <c r="F112" s="40"/>
      <c r="G112" s="32"/>
    </row>
    <row r="113" spans="1:7" ht="20.25" x14ac:dyDescent="0.3">
      <c r="A113" s="43" t="s">
        <v>157</v>
      </c>
      <c r="B113" s="43"/>
      <c r="C113" s="43"/>
      <c r="D113" s="43"/>
      <c r="E113" s="43"/>
      <c r="F113" s="43"/>
      <c r="G113" s="43"/>
    </row>
    <row r="114" spans="1:7" s="22" customFormat="1" ht="15.75" x14ac:dyDescent="0.25">
      <c r="A114" s="1" t="s">
        <v>0</v>
      </c>
      <c r="B114" s="1" t="s">
        <v>7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 ht="15.75" x14ac:dyDescent="0.25">
      <c r="A115" s="10">
        <v>1</v>
      </c>
      <c r="B115" s="35">
        <v>0</v>
      </c>
      <c r="C115" s="6" t="s">
        <v>35</v>
      </c>
      <c r="D115" s="11" t="s">
        <v>131</v>
      </c>
      <c r="E115" s="6" t="s">
        <v>53</v>
      </c>
      <c r="F115" s="31">
        <v>0.25</v>
      </c>
      <c r="G115" s="12">
        <f>B115*F115</f>
        <v>0</v>
      </c>
    </row>
    <row r="116" spans="1:7" ht="15.75" x14ac:dyDescent="0.25">
      <c r="A116" s="10">
        <v>2</v>
      </c>
      <c r="B116" s="35">
        <v>0</v>
      </c>
      <c r="C116" s="6" t="s">
        <v>35</v>
      </c>
      <c r="D116" s="11" t="s">
        <v>132</v>
      </c>
      <c r="E116" s="6" t="s">
        <v>63</v>
      </c>
      <c r="F116" s="31">
        <v>5.24</v>
      </c>
      <c r="G116" s="12">
        <f t="shared" ref="G116:G136" si="6">B116*F116</f>
        <v>0</v>
      </c>
    </row>
    <row r="117" spans="1:7" ht="15.75" x14ac:dyDescent="0.25">
      <c r="A117" s="10">
        <v>3</v>
      </c>
      <c r="B117" s="35">
        <v>0</v>
      </c>
      <c r="C117" s="6" t="s">
        <v>133</v>
      </c>
      <c r="D117" s="11" t="s">
        <v>134</v>
      </c>
      <c r="E117" s="6" t="s">
        <v>53</v>
      </c>
      <c r="F117" s="31">
        <v>0.35</v>
      </c>
      <c r="G117" s="12">
        <f t="shared" si="6"/>
        <v>0</v>
      </c>
    </row>
    <row r="118" spans="1:7" ht="15.75" x14ac:dyDescent="0.25">
      <c r="A118" s="10">
        <v>4</v>
      </c>
      <c r="B118" s="35">
        <v>0</v>
      </c>
      <c r="C118" s="6" t="s">
        <v>133</v>
      </c>
      <c r="D118" s="11" t="s">
        <v>135</v>
      </c>
      <c r="E118" s="6" t="s">
        <v>63</v>
      </c>
      <c r="F118" s="31">
        <v>3.85</v>
      </c>
      <c r="G118" s="12">
        <f t="shared" si="6"/>
        <v>0</v>
      </c>
    </row>
    <row r="119" spans="1:7" ht="15.75" x14ac:dyDescent="0.25">
      <c r="A119" s="10">
        <v>5</v>
      </c>
      <c r="B119" s="35">
        <v>0</v>
      </c>
      <c r="C119" s="6" t="s">
        <v>133</v>
      </c>
      <c r="D119" s="11" t="s">
        <v>136</v>
      </c>
      <c r="E119" s="6" t="s">
        <v>63</v>
      </c>
      <c r="F119" s="31">
        <v>4.04</v>
      </c>
      <c r="G119" s="12">
        <f t="shared" si="6"/>
        <v>0</v>
      </c>
    </row>
    <row r="120" spans="1:7" ht="15.75" x14ac:dyDescent="0.25">
      <c r="A120" s="10">
        <v>6</v>
      </c>
      <c r="B120" s="35">
        <v>0</v>
      </c>
      <c r="C120" s="6" t="s">
        <v>133</v>
      </c>
      <c r="D120" s="11" t="s">
        <v>137</v>
      </c>
      <c r="E120" s="6" t="s">
        <v>63</v>
      </c>
      <c r="F120" s="31">
        <v>5.63</v>
      </c>
      <c r="G120" s="12">
        <f t="shared" si="6"/>
        <v>0</v>
      </c>
    </row>
    <row r="121" spans="1:7" ht="15.75" x14ac:dyDescent="0.25">
      <c r="A121" s="10">
        <v>7</v>
      </c>
      <c r="B121" s="35">
        <v>0</v>
      </c>
      <c r="C121" s="6" t="s">
        <v>133</v>
      </c>
      <c r="D121" s="11" t="s">
        <v>138</v>
      </c>
      <c r="E121" s="6" t="s">
        <v>63</v>
      </c>
      <c r="F121" s="31">
        <v>5.42</v>
      </c>
      <c r="G121" s="12">
        <f t="shared" si="6"/>
        <v>0</v>
      </c>
    </row>
    <row r="122" spans="1:7" ht="15.75" x14ac:dyDescent="0.25">
      <c r="A122" s="10">
        <v>8</v>
      </c>
      <c r="B122" s="35">
        <v>0</v>
      </c>
      <c r="C122" s="6" t="s">
        <v>133</v>
      </c>
      <c r="D122" s="11" t="s">
        <v>139</v>
      </c>
      <c r="E122" s="6" t="s">
        <v>63</v>
      </c>
      <c r="F122" s="31">
        <v>3.62</v>
      </c>
      <c r="G122" s="12">
        <f t="shared" si="6"/>
        <v>0</v>
      </c>
    </row>
    <row r="123" spans="1:7" ht="15.75" x14ac:dyDescent="0.25">
      <c r="A123" s="10">
        <v>9</v>
      </c>
      <c r="B123" s="35">
        <v>0</v>
      </c>
      <c r="C123" s="6" t="s">
        <v>133</v>
      </c>
      <c r="D123" s="11" t="s">
        <v>140</v>
      </c>
      <c r="E123" s="6" t="s">
        <v>63</v>
      </c>
      <c r="F123" s="31">
        <v>4.4400000000000004</v>
      </c>
      <c r="G123" s="12">
        <f t="shared" si="6"/>
        <v>0</v>
      </c>
    </row>
    <row r="124" spans="1:7" ht="15.75" x14ac:dyDescent="0.25">
      <c r="A124" s="10">
        <v>10</v>
      </c>
      <c r="B124" s="35">
        <v>0</v>
      </c>
      <c r="C124" s="6" t="s">
        <v>133</v>
      </c>
      <c r="D124" s="11" t="s">
        <v>141</v>
      </c>
      <c r="E124" s="6" t="s">
        <v>63</v>
      </c>
      <c r="F124" s="31">
        <v>5.81</v>
      </c>
      <c r="G124" s="12">
        <f>B124*F124</f>
        <v>0</v>
      </c>
    </row>
    <row r="125" spans="1:7" ht="15.75" x14ac:dyDescent="0.25">
      <c r="A125" s="10">
        <v>11</v>
      </c>
      <c r="B125" s="35">
        <v>0</v>
      </c>
      <c r="C125" s="6" t="s">
        <v>133</v>
      </c>
      <c r="D125" s="11" t="s">
        <v>142</v>
      </c>
      <c r="E125" s="6" t="s">
        <v>63</v>
      </c>
      <c r="F125" s="31">
        <v>5.2</v>
      </c>
      <c r="G125" s="12">
        <f t="shared" si="6"/>
        <v>0</v>
      </c>
    </row>
    <row r="126" spans="1:7" ht="15.75" x14ac:dyDescent="0.25">
      <c r="A126" s="10">
        <v>12</v>
      </c>
      <c r="B126" s="35">
        <v>0</v>
      </c>
      <c r="C126" s="6" t="s">
        <v>133</v>
      </c>
      <c r="D126" s="11" t="s">
        <v>143</v>
      </c>
      <c r="E126" s="6" t="s">
        <v>63</v>
      </c>
      <c r="F126" s="31">
        <v>5.2</v>
      </c>
      <c r="G126" s="12">
        <f t="shared" si="6"/>
        <v>0</v>
      </c>
    </row>
    <row r="127" spans="1:7" ht="31.5" x14ac:dyDescent="0.25">
      <c r="A127" s="10">
        <v>13</v>
      </c>
      <c r="B127" s="35">
        <v>0</v>
      </c>
      <c r="C127" s="6" t="s">
        <v>35</v>
      </c>
      <c r="D127" s="11" t="s">
        <v>144</v>
      </c>
      <c r="E127" s="6" t="s">
        <v>53</v>
      </c>
      <c r="F127" s="31">
        <v>1.37</v>
      </c>
      <c r="G127" s="12">
        <f t="shared" si="6"/>
        <v>0</v>
      </c>
    </row>
    <row r="128" spans="1:7" ht="15.75" x14ac:dyDescent="0.25">
      <c r="A128" s="10">
        <v>14</v>
      </c>
      <c r="B128" s="35">
        <v>0</v>
      </c>
      <c r="C128" s="6" t="s">
        <v>35</v>
      </c>
      <c r="D128" s="11" t="s">
        <v>145</v>
      </c>
      <c r="E128" s="6" t="s">
        <v>37</v>
      </c>
      <c r="F128" s="31">
        <v>3.56</v>
      </c>
      <c r="G128" s="12">
        <f t="shared" si="6"/>
        <v>0</v>
      </c>
    </row>
    <row r="129" spans="1:7" ht="15.75" x14ac:dyDescent="0.25">
      <c r="A129" s="10">
        <v>15</v>
      </c>
      <c r="B129" s="35">
        <v>0</v>
      </c>
      <c r="C129" s="6" t="s">
        <v>35</v>
      </c>
      <c r="D129" s="11" t="s">
        <v>146</v>
      </c>
      <c r="E129" s="6" t="s">
        <v>53</v>
      </c>
      <c r="F129" s="31">
        <v>0.78</v>
      </c>
      <c r="G129" s="12">
        <f t="shared" si="6"/>
        <v>0</v>
      </c>
    </row>
    <row r="130" spans="1:7" ht="15.75" x14ac:dyDescent="0.25">
      <c r="A130" s="10">
        <v>16</v>
      </c>
      <c r="B130" s="35">
        <v>0</v>
      </c>
      <c r="C130" s="6" t="s">
        <v>35</v>
      </c>
      <c r="D130" s="11" t="s">
        <v>147</v>
      </c>
      <c r="E130" s="6" t="s">
        <v>154</v>
      </c>
      <c r="F130" s="31">
        <v>1.58</v>
      </c>
      <c r="G130" s="12">
        <f t="shared" si="6"/>
        <v>0</v>
      </c>
    </row>
    <row r="131" spans="1:7" ht="15.75" x14ac:dyDescent="0.25">
      <c r="A131" s="10">
        <v>17</v>
      </c>
      <c r="B131" s="35">
        <v>0</v>
      </c>
      <c r="C131" s="6" t="s">
        <v>35</v>
      </c>
      <c r="D131" s="11" t="s">
        <v>148</v>
      </c>
      <c r="E131" s="6" t="s">
        <v>53</v>
      </c>
      <c r="F131" s="31">
        <v>0.8</v>
      </c>
      <c r="G131" s="12">
        <f t="shared" si="6"/>
        <v>0</v>
      </c>
    </row>
    <row r="132" spans="1:7" ht="15.75" x14ac:dyDescent="0.25">
      <c r="A132" s="10">
        <v>18</v>
      </c>
      <c r="B132" s="35">
        <v>0</v>
      </c>
      <c r="C132" s="6" t="s">
        <v>35</v>
      </c>
      <c r="D132" s="11" t="s">
        <v>149</v>
      </c>
      <c r="E132" s="6" t="s">
        <v>53</v>
      </c>
      <c r="F132" s="31">
        <v>0.88</v>
      </c>
      <c r="G132" s="12">
        <f t="shared" si="6"/>
        <v>0</v>
      </c>
    </row>
    <row r="133" spans="1:7" ht="15.75" x14ac:dyDescent="0.25">
      <c r="A133" s="10">
        <v>19</v>
      </c>
      <c r="B133" s="35">
        <v>0</v>
      </c>
      <c r="C133" s="6" t="s">
        <v>35</v>
      </c>
      <c r="D133" s="11" t="s">
        <v>150</v>
      </c>
      <c r="E133" s="6" t="s">
        <v>63</v>
      </c>
      <c r="F133" s="31">
        <v>3.58</v>
      </c>
      <c r="G133" s="12">
        <f t="shared" si="6"/>
        <v>0</v>
      </c>
    </row>
    <row r="134" spans="1:7" ht="15.75" x14ac:dyDescent="0.25">
      <c r="A134" s="10">
        <v>20</v>
      </c>
      <c r="B134" s="35">
        <v>0</v>
      </c>
      <c r="C134" s="6" t="s">
        <v>35</v>
      </c>
      <c r="D134" s="11" t="s">
        <v>151</v>
      </c>
      <c r="E134" s="6" t="s">
        <v>63</v>
      </c>
      <c r="F134" s="31">
        <v>5.8</v>
      </c>
      <c r="G134" s="12">
        <f t="shared" si="6"/>
        <v>0</v>
      </c>
    </row>
    <row r="135" spans="1:7" ht="15.75" x14ac:dyDescent="0.25">
      <c r="A135" s="10">
        <v>21</v>
      </c>
      <c r="B135" s="35">
        <v>0</v>
      </c>
      <c r="C135" s="6" t="s">
        <v>35</v>
      </c>
      <c r="D135" s="11" t="s">
        <v>152</v>
      </c>
      <c r="E135" s="6" t="s">
        <v>68</v>
      </c>
      <c r="F135" s="31">
        <v>7.42</v>
      </c>
      <c r="G135" s="12">
        <f t="shared" si="6"/>
        <v>0</v>
      </c>
    </row>
    <row r="136" spans="1:7" ht="15.75" x14ac:dyDescent="0.25">
      <c r="A136" s="10">
        <v>22</v>
      </c>
      <c r="B136" s="35">
        <v>0</v>
      </c>
      <c r="C136" s="6" t="s">
        <v>35</v>
      </c>
      <c r="D136" s="11" t="s">
        <v>153</v>
      </c>
      <c r="E136" s="6" t="s">
        <v>68</v>
      </c>
      <c r="F136" s="31">
        <v>10.02</v>
      </c>
      <c r="G136" s="12">
        <f t="shared" si="6"/>
        <v>0</v>
      </c>
    </row>
    <row r="137" spans="1:7" x14ac:dyDescent="0.25">
      <c r="A137" s="42" t="s">
        <v>155</v>
      </c>
      <c r="B137" s="42"/>
      <c r="C137" s="42"/>
      <c r="D137" s="42"/>
      <c r="E137" s="42"/>
      <c r="F137" s="42"/>
      <c r="G137" s="30">
        <f>SUM(G115:G136)</f>
        <v>0</v>
      </c>
    </row>
    <row r="138" spans="1:7" x14ac:dyDescent="0.25">
      <c r="A138" s="28"/>
      <c r="B138" s="28"/>
      <c r="C138" s="28"/>
      <c r="D138" s="28"/>
      <c r="E138" s="28"/>
      <c r="F138" s="28"/>
      <c r="G138" s="28"/>
    </row>
    <row r="139" spans="1:7" ht="15.75" x14ac:dyDescent="0.25">
      <c r="A139"/>
      <c r="B139" s="38">
        <v>0</v>
      </c>
      <c r="C139" s="39" t="s">
        <v>35</v>
      </c>
      <c r="D139" s="37" t="s">
        <v>158</v>
      </c>
      <c r="E139"/>
      <c r="F139"/>
      <c r="G139"/>
    </row>
    <row r="140" spans="1:7" ht="15.75" x14ac:dyDescent="0.25">
      <c r="A140"/>
      <c r="B140" s="38">
        <v>0</v>
      </c>
      <c r="C140" s="39" t="s">
        <v>35</v>
      </c>
      <c r="D140" s="37" t="s">
        <v>159</v>
      </c>
      <c r="E140"/>
      <c r="F140"/>
      <c r="G140"/>
    </row>
    <row r="141" spans="1:7" ht="15.75" x14ac:dyDescent="0.25">
      <c r="B141" s="38">
        <v>0</v>
      </c>
      <c r="C141" s="15" t="s">
        <v>162</v>
      </c>
      <c r="D141" s="24" t="s">
        <v>161</v>
      </c>
    </row>
    <row r="142" spans="1:7" ht="15.75" x14ac:dyDescent="0.25">
      <c r="B142" s="38">
        <v>0</v>
      </c>
      <c r="C142" s="15" t="s">
        <v>35</v>
      </c>
      <c r="D142" s="24" t="s">
        <v>163</v>
      </c>
    </row>
  </sheetData>
  <mergeCells count="27">
    <mergeCell ref="A137:F137"/>
    <mergeCell ref="B1:C1"/>
    <mergeCell ref="E1:F1"/>
    <mergeCell ref="A113:G113"/>
    <mergeCell ref="A83:G83"/>
    <mergeCell ref="A38:G38"/>
    <mergeCell ref="A2:G2"/>
    <mergeCell ref="A21:G21"/>
    <mergeCell ref="A24:A25"/>
    <mergeCell ref="B24:B25"/>
    <mergeCell ref="C24:C25"/>
    <mergeCell ref="E24:E25"/>
    <mergeCell ref="F24:F25"/>
    <mergeCell ref="G24:G25"/>
    <mergeCell ref="D24:D25"/>
    <mergeCell ref="A19:F19"/>
    <mergeCell ref="B20:C20"/>
    <mergeCell ref="E20:F20"/>
    <mergeCell ref="B37:C37"/>
    <mergeCell ref="E37:F37"/>
    <mergeCell ref="B82:C82"/>
    <mergeCell ref="E82:F82"/>
    <mergeCell ref="B112:C112"/>
    <mergeCell ref="E112:F112"/>
    <mergeCell ref="A36:F36"/>
    <mergeCell ref="A81:F81"/>
    <mergeCell ref="A111:F111"/>
  </mergeCells>
  <pageMargins left="0.23622047244094491" right="0.23622047244094491" top="0.39370078740157483" bottom="0.39370078740157483" header="0.31496062992125984" footer="0.31496062992125984"/>
  <pageSetup paperSize="9" scale="82" fitToHeight="0" orientation="portrait" horizontalDpi="4294967294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2025-11-26T12:53:57Z</dcterms:modified>
</cp:coreProperties>
</file>